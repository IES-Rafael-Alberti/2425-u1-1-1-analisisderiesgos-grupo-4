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ciones" sheetId="1" r:id="rId5"/>
    <sheet state="visible" name="Ejemplo de análisis" sheetId="2" r:id="rId6"/>
    <sheet state="visible" name="Tablas AR" sheetId="3" r:id="rId7"/>
    <sheet state="visible" name="Catálogo amenazas" sheetId="4" r:id="rId8"/>
    <sheet state="visible" name="Activos" sheetId="5" r:id="rId9"/>
    <sheet state="visible" name="Cruces Activo-Amenaza" sheetId="6" r:id="rId10"/>
    <sheet state="visible" name="Análisis de Riesgos" sheetId="7" r:id="rId11"/>
  </sheets>
  <definedNames/>
  <calcPr/>
  <extLst>
    <ext uri="GoogleSheetsCustomDataVersion2">
      <go:sheetsCustomData xmlns:go="http://customooxmlschemas.google.com/" r:id="rId12" roundtripDataChecksum="dvrfp9Qd4c4JwTufxPfwxi3SgKM9C5tzdJ8GIKQJy2c="/>
    </ext>
  </extLst>
</workbook>
</file>

<file path=xl/sharedStrings.xml><?xml version="1.0" encoding="utf-8"?>
<sst xmlns="http://schemas.openxmlformats.org/spreadsheetml/2006/main" count="1130" uniqueCount="123">
  <si>
    <t>ANÁLISIS DE RIESGOS</t>
  </si>
  <si>
    <t>INSTRUCCIONES PARA REALIZAR LA ACTIVIDAD FINAL</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</si>
  <si>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</si>
  <si>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</si>
  <si>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</si>
  <si>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</si>
  <si>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t>w</t>
  </si>
  <si>
    <r>
      <rPr>
        <rFont val="Arial"/>
        <color theme="1"/>
        <sz val="11.0"/>
      </rPr>
      <t>Hoja «</t>
    </r>
    <r>
      <rPr>
        <rFont val="Arial"/>
        <b/>
        <color theme="1"/>
        <sz val="11.0"/>
      </rPr>
      <t>Ejemplo de análisis</t>
    </r>
    <r>
      <rPr>
        <rFont val="Arial"/>
        <color theme="1"/>
        <sz val="11.0"/>
      </rPr>
      <t>»: contiene un ejemplo de análisis de riesgos que podrás utilizar como referencia para realizar la actividad.</t>
    </r>
  </si>
  <si>
    <r>
      <rPr>
        <rFont val="Arial"/>
        <color theme="1"/>
        <sz val="11.0"/>
      </rPr>
      <t>Hoja «</t>
    </r>
    <r>
      <rPr>
        <rFont val="Arial"/>
        <b/>
        <color theme="1"/>
        <sz val="11.0"/>
      </rPr>
      <t>Tablas AR</t>
    </r>
    <r>
      <rPr>
        <rFont val="Arial"/>
        <color theme="1"/>
        <sz val="11.0"/>
      </rPr>
      <t>»: incluye unas tablas orientativas para realizar las valoraciones de la probabilidad y el impacto según una escala de tres valores.</t>
    </r>
  </si>
  <si>
    <r>
      <rPr>
        <rFont val="Arial"/>
        <color theme="1"/>
        <sz val="11.0"/>
      </rPr>
      <t>Hoja «</t>
    </r>
    <r>
      <rPr>
        <rFont val="Arial"/>
        <b/>
        <color theme="1"/>
        <sz val="11.0"/>
      </rPr>
      <t>Catálogo amenazas</t>
    </r>
    <r>
      <rPr>
        <rFont val="Arial"/>
        <color theme="1"/>
        <sz val="11.0"/>
      </rPr>
      <t>»: refleja las principales amenazas a considerar en el ámbito de un análisis de riesgos.</t>
    </r>
  </si>
  <si>
    <r>
      <rPr>
        <rFont val="Arial"/>
        <color theme="1"/>
        <sz val="11.0"/>
      </rPr>
      <t>Hoja «</t>
    </r>
    <r>
      <rPr>
        <rFont val="Arial"/>
        <b/>
        <color theme="1"/>
        <sz val="11.0"/>
      </rPr>
      <t>Activos</t>
    </r>
    <r>
      <rPr>
        <rFont val="Arial"/>
        <color theme="1"/>
        <sz val="11.0"/>
      </rPr>
      <t>»: contiene un listado con los activos definidos para cada uno de los modelos de empresa propuestos en las instrucciones de la actividad final.</t>
    </r>
  </si>
  <si>
    <r>
      <rPr>
        <rFont val="Arial"/>
        <color theme="1"/>
        <sz val="11.0"/>
      </rPr>
      <t>Hoja «</t>
    </r>
    <r>
      <rPr>
        <rFont val="Arial"/>
        <b/>
        <color theme="1"/>
        <sz val="11.0"/>
      </rPr>
      <t>Cruces Activo-Amenaza</t>
    </r>
    <r>
      <rPr>
        <rFont val="Arial"/>
        <color theme="1"/>
        <sz val="11.0"/>
      </rPr>
      <t>»: se utilizará para especificar las amenazas que afectan a los activos del modelo elegido.</t>
    </r>
  </si>
  <si>
    <r>
      <rPr>
        <rFont val="Arial"/>
        <color theme="1"/>
        <sz val="11.0"/>
      </rPr>
      <t>Hoja «</t>
    </r>
    <r>
      <rPr>
        <rFont val="Arial"/>
        <b/>
        <color theme="1"/>
        <sz val="11.0"/>
      </rPr>
      <t>Análisis de Riesgos</t>
    </r>
    <r>
      <rPr>
        <rFont val="Arial"/>
        <color theme="1"/>
        <sz val="11.0"/>
      </rPr>
      <t>»: se utilizará para realizar el análisis de riesgos. Se debe indicar la probabilidad y el impacto de cada amenaza sobre cada uno de los activos.</t>
    </r>
  </si>
  <si>
    <t>2º</t>
  </si>
  <si>
    <t>FUNCIONAMIENTO DE LA APLICACIÓN:</t>
  </si>
  <si>
    <r>
      <rPr>
        <rFont val="Arial"/>
        <b/>
        <color theme="1"/>
        <sz val="11.0"/>
      </rPr>
      <t>Paso 1</t>
    </r>
    <r>
      <rPr>
        <rFont val="Arial"/>
        <color theme="1"/>
        <sz val="11.0"/>
      </rPr>
      <t xml:space="preserve">: en la hoja </t>
    </r>
    <r>
      <rPr>
        <rFont val="Arial"/>
        <color rgb="FFFF0000"/>
        <sz val="11.0"/>
      </rPr>
      <t>«</t>
    </r>
    <r>
      <rPr>
        <rFont val="Arial"/>
        <b/>
        <color rgb="FFFF0000"/>
        <sz val="11.0"/>
      </rPr>
      <t>Activos</t>
    </r>
    <r>
      <rPr>
        <rFont val="Arial"/>
        <color rgb="FFFF0000"/>
        <sz val="11.0"/>
      </rPr>
      <t>»</t>
    </r>
    <r>
      <rPr>
        <rFont val="Arial"/>
        <color theme="1"/>
        <sz val="11.0"/>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</si>
  <si>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rFont val="Arial"/>
        <b/>
        <color theme="1"/>
        <sz val="11.0"/>
      </rPr>
      <t>Paso 2</t>
    </r>
    <r>
      <rPr>
        <rFont val="Arial"/>
        <color theme="1"/>
        <sz val="11.0"/>
      </rPr>
      <t xml:space="preserve">: en la hoja </t>
    </r>
    <r>
      <rPr>
        <rFont val="Arial"/>
        <b/>
        <color rgb="FF1F497D"/>
        <sz val="11.0"/>
      </rPr>
      <t xml:space="preserve">«Cruces Activo-Amenaza» </t>
    </r>
    <r>
      <rPr>
        <rFont val="Arial"/>
        <b/>
        <color theme="1"/>
        <sz val="11.0"/>
      </rPr>
      <t>s</t>
    </r>
    <r>
      <rPr>
        <rFont val="Arial"/>
        <color theme="1"/>
        <sz val="11.0"/>
      </rPr>
      <t>e mue</t>
    </r>
    <r>
      <rPr>
        <rFont val="Arial"/>
        <color theme="1"/>
        <sz val="11.0"/>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</si>
  <si>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rFont val="Arial"/>
        <b/>
        <color theme="1"/>
        <sz val="11.0"/>
      </rPr>
      <t>Paso 3</t>
    </r>
    <r>
      <rPr>
        <rFont val="Arial"/>
        <color theme="1"/>
        <sz val="11.0"/>
      </rPr>
      <t xml:space="preserve">: en la hoja </t>
    </r>
    <r>
      <rPr>
        <rFont val="Arial"/>
        <b/>
        <color rgb="FF4F6128"/>
        <sz val="11.0"/>
      </rPr>
      <t xml:space="preserve">«Análisis de Riesgos» </t>
    </r>
    <r>
      <rPr>
        <rFont val="Arial"/>
        <color theme="1"/>
        <sz val="11.0"/>
      </rPr>
      <t>se debe pulsar el</t>
    </r>
    <r>
      <rPr>
        <rFont val="Arial"/>
        <color theme="1"/>
        <sz val="11.0"/>
      </rPr>
      <t xml:space="preserve"> botón «Mostrar activos» (en la esquina superior izquierda). Este botón mostrará automáticamente todos los activos elegidos, con cada una de las amenazas asociadas a dichos activos.</t>
    </r>
  </si>
  <si>
    <r>
      <rPr>
        <rFont val="Arial"/>
        <b/>
        <color theme="1"/>
        <sz val="11.0"/>
      </rPr>
      <t>Paso 4</t>
    </r>
    <r>
      <rPr>
        <rFont val="Arial"/>
        <color theme="1"/>
        <sz val="11.0"/>
      </rPr>
      <t xml:space="preserve">: en la hoja </t>
    </r>
    <r>
      <rPr>
        <rFont val="Arial"/>
        <b/>
        <color rgb="FF4F6128"/>
        <sz val="11.0"/>
      </rPr>
      <t xml:space="preserve">«Análisis de Riesgos» </t>
    </r>
    <r>
      <rPr>
        <rFont val="Arial"/>
        <color theme="1"/>
        <sz val="11.0"/>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</si>
  <si>
    <t>ACTIVO</t>
  </si>
  <si>
    <t>AMENAZA</t>
  </si>
  <si>
    <t>PROBABILIDAD</t>
  </si>
  <si>
    <t>IMPACTO</t>
  </si>
  <si>
    <t>RIESGO</t>
  </si>
  <si>
    <t>Servidor 01 (Contabilidad)</t>
  </si>
  <si>
    <t>Fuga de información</t>
  </si>
  <si>
    <t>Degradación de los soportes de almacenamiento de la información</t>
  </si>
  <si>
    <t>Router Wifi (Clientes)</t>
  </si>
  <si>
    <t>Caída del sistema por sobrecarga</t>
  </si>
  <si>
    <t>Denegación de servicio</t>
  </si>
  <si>
    <t>Servidor 02 (Web)</t>
  </si>
  <si>
    <t>Corte del suministro eléctrico</t>
  </si>
  <si>
    <t>…</t>
  </si>
  <si>
    <t>(Añadir a la tabla tantas filas como sea necesario)</t>
  </si>
  <si>
    <t>TABLA PARA ESTIMAR LA PROBABILIDAD</t>
  </si>
  <si>
    <t>VALOR</t>
  </si>
  <si>
    <t>DESCRIPCIÓN</t>
  </si>
  <si>
    <t>Bajo (1)</t>
  </si>
  <si>
    <t>La amenaza se materializa a lo sumo una vez cada año.</t>
  </si>
  <si>
    <t>Medio (2)</t>
  </si>
  <si>
    <t>La amenaza se materializa a lo sumo una vez cada mes.</t>
  </si>
  <si>
    <t>Alto (3)</t>
  </si>
  <si>
    <t>La amenaza se materializa a lo sumo una vez cada semana.</t>
  </si>
  <si>
    <t>TABLA PARA ESTIMAR EL IMPACTO</t>
  </si>
  <si>
    <t xml:space="preserve"> </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</si>
  <si>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</si>
  <si>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</si>
  <si>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</si>
  <si>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CRITERIOS DE ACEPTACIÓN DEL RIESGO</t>
  </si>
  <si>
    <t>RANGO</t>
  </si>
  <si>
    <r>
      <rPr>
        <rFont val="Arial"/>
        <color theme="1"/>
        <sz val="11.0"/>
      </rPr>
      <t xml:space="preserve">Riesgo &lt;= </t>
    </r>
    <r>
      <rPr>
        <rFont val="Arial"/>
        <color rgb="FFFF0000"/>
        <sz val="11.0"/>
      </rPr>
      <t>4</t>
    </r>
  </si>
  <si>
    <t xml:space="preserve">La organización considera el riesgo poco reseñable. </t>
  </si>
  <si>
    <r>
      <rPr>
        <rFont val="Arial"/>
        <color theme="1"/>
        <sz val="11.0"/>
      </rPr>
      <t xml:space="preserve">Riesgo &gt; </t>
    </r>
    <r>
      <rPr>
        <rFont val="Arial"/>
        <color rgb="FFFF0000"/>
        <sz val="11.0"/>
      </rPr>
      <t>4</t>
    </r>
  </si>
  <si>
    <t>La organización considera el riesgo reseñable y debe proceder a su tratamiento.</t>
  </si>
  <si>
    <t>SI</t>
  </si>
  <si>
    <t>NO</t>
  </si>
  <si>
    <t>Amenazas</t>
  </si>
  <si>
    <t>Fuego</t>
  </si>
  <si>
    <t>Errores de los usuarios</t>
  </si>
  <si>
    <t>Daños por agua</t>
  </si>
  <si>
    <t>Condiciones inadecuadas de temperatura o humedad</t>
  </si>
  <si>
    <t>Errores del administrador</t>
  </si>
  <si>
    <t>Desastres naturales</t>
  </si>
  <si>
    <t>Fallo de servicios de comunicaciones</t>
  </si>
  <si>
    <t>Errores de configuración</t>
  </si>
  <si>
    <t>Interrupción de otros servicios y suministros esenciales</t>
  </si>
  <si>
    <t>Desastres industriales</t>
  </si>
  <si>
    <t>Introducción de falsa información</t>
  </si>
  <si>
    <t>Robo</t>
  </si>
  <si>
    <t>Alteración de la información</t>
  </si>
  <si>
    <t>Indisponibilidad del personal</t>
  </si>
  <si>
    <t>Corrupción de la información</t>
  </si>
  <si>
    <t>Difusión de software dañino</t>
  </si>
  <si>
    <t>Extorsión</t>
  </si>
  <si>
    <t>Destrucción de información</t>
  </si>
  <si>
    <t>Errores de mantenimiento / actualización de programas (software)</t>
  </si>
  <si>
    <t>Ingeniería social</t>
  </si>
  <si>
    <t>Interceptación de información (escucha)</t>
  </si>
  <si>
    <t>Errores de mantenimiento / actualización de equipos (hardware)</t>
  </si>
  <si>
    <t>Pérdida de equipos</t>
  </si>
  <si>
    <t>Abuso de privilegios de acceso</t>
  </si>
  <si>
    <t>Acceso no autorizado</t>
  </si>
  <si>
    <t>Identificador</t>
  </si>
  <si>
    <t>Activo</t>
  </si>
  <si>
    <t>Aplicación</t>
  </si>
  <si>
    <t>Modelo A</t>
  </si>
  <si>
    <t>A1</t>
  </si>
  <si>
    <t>ordenador(es)</t>
  </si>
  <si>
    <t>A2</t>
  </si>
  <si>
    <t>móvil(es) principalmente para telefonía</t>
  </si>
  <si>
    <t>A3</t>
  </si>
  <si>
    <t>conexión a Internet e incluso wifi</t>
  </si>
  <si>
    <t>Modelo B</t>
  </si>
  <si>
    <t>B1</t>
  </si>
  <si>
    <t>ordenadores y conexión a Internet (con wifi)</t>
  </si>
  <si>
    <t>B2</t>
  </si>
  <si>
    <t xml:space="preserve">dispositivos móviles para telefonía y datos  </t>
  </si>
  <si>
    <t>B3</t>
  </si>
  <si>
    <r>
      <rPr>
        <rFont val="Arial"/>
        <color theme="1"/>
        <sz val="11.0"/>
      </rPr>
      <t xml:space="preserve">soluciones tecnológicas gratuitas para la gestión empresarial como correo electrónico, CRM e incluso herramientas colaborativas o de almacenamiento </t>
    </r>
    <r>
      <rPr>
        <rFont val="Arial"/>
        <i/>
        <color theme="1"/>
        <sz val="11.0"/>
      </rPr>
      <t>cloud</t>
    </r>
  </si>
  <si>
    <t>B4</t>
  </si>
  <si>
    <t>una página web sencilla alojada y gestionada por un proveedor externo</t>
  </si>
  <si>
    <t>Modelo C</t>
  </si>
  <si>
    <t>C1</t>
  </si>
  <si>
    <t xml:space="preserve">ordenadores e incluso algún servidor (web, correo electrónico,…) </t>
  </si>
  <si>
    <t>C2</t>
  </si>
  <si>
    <t>conexión a Internet con wifi</t>
  </si>
  <si>
    <t>C3</t>
  </si>
  <si>
    <t>dispositivos móviles con datos y apps para su trabajo</t>
  </si>
  <si>
    <t>C4</t>
  </si>
  <si>
    <t>herramienta(s) comercial(es) de gestión de negocio (CRM y ERP)</t>
  </si>
  <si>
    <t>C5</t>
  </si>
  <si>
    <t xml:space="preserve">página web / tienda online y redes sociales que gestionan desde la empresa </t>
  </si>
  <si>
    <t>C6</t>
  </si>
  <si>
    <t>herramientas para empresas en la nube</t>
  </si>
  <si>
    <t>C7</t>
  </si>
  <si>
    <t>e-administración para su relación con las AAPP</t>
  </si>
  <si>
    <t>Amenaza/Activo</t>
  </si>
  <si>
    <t>Amenaza</t>
  </si>
  <si>
    <t>Probabilidad</t>
  </si>
  <si>
    <t>Impacto</t>
  </si>
  <si>
    <t>Riesgo</t>
  </si>
  <si>
    <t>Estoy aqui con mi super micro cabrones :)</t>
  </si>
  <si>
    <t>Comerme los cojones hijos de puta</t>
  </si>
</sst>
</file>

<file path=xl/styles.xml><?xml version="1.0" encoding="utf-8"?>
<styleSheet xmlns="http://schemas.openxmlformats.org/spreadsheetml/2006/main" xmlns:x14ac="http://schemas.microsoft.com/office/spreadsheetml/2009/9/ac" xmlns:mc="http://schemas.openxmlformats.org/markup-compatibility/2006">
  <fonts count="16">
    <font>
      <sz val="11.0"/>
      <color theme="1"/>
      <name val="Calibri"/>
      <scheme val="minor"/>
    </font>
    <font>
      <sz val="11.0"/>
      <color theme="1"/>
      <name val="Arial"/>
    </font>
    <font>
      <b/>
      <sz val="16.0"/>
      <color rgb="FFFF0000"/>
      <name val="Arial"/>
    </font>
    <font/>
    <font>
      <b/>
      <sz val="14.0"/>
      <color rgb="FFFF0000"/>
      <name val="Arial"/>
    </font>
    <font>
      <b/>
      <sz val="14.0"/>
      <color rgb="FF7F7F7F"/>
      <name val="Arial"/>
    </font>
    <font>
      <b/>
      <sz val="11.0"/>
      <color rgb="FFFF0000"/>
      <name val="Arial"/>
    </font>
    <font>
      <b/>
      <sz val="11.0"/>
      <color rgb="FFFF0000"/>
      <name val="Noto Sans Symbols"/>
    </font>
    <font>
      <b/>
      <sz val="14.0"/>
      <color theme="0"/>
      <name val="Arial"/>
    </font>
    <font>
      <b/>
      <sz val="12.0"/>
      <color rgb="FF000000"/>
      <name val="Arial"/>
    </font>
    <font>
      <sz val="12.0"/>
      <color theme="1"/>
      <name val="Arial"/>
    </font>
    <font>
      <i/>
      <sz val="12.0"/>
      <color theme="1"/>
      <name val="Arial"/>
    </font>
    <font>
      <b/>
      <sz val="11.0"/>
      <color theme="1"/>
      <name val="Arial"/>
    </font>
    <font>
      <b/>
      <sz val="11.0"/>
      <color theme="0"/>
      <name val="Arial"/>
    </font>
    <font>
      <color theme="1"/>
      <name val="Calibri"/>
      <scheme val="minor"/>
    </font>
    <font>
      <sz val="11.0"/>
      <color theme="1"/>
      <name val="Calibri"/>
    </font>
  </fonts>
  <fills count="16">
    <fill>
      <patternFill patternType="none"/>
    </fill>
    <fill>
      <patternFill patternType="lightGray"/>
    </fill>
    <fill>
      <patternFill patternType="solid">
        <fgColor theme="0"/>
        <bgColor theme="0"/>
      </patternFill>
    </fill>
    <fill>
      <patternFill patternType="solid">
        <fgColor rgb="FFE62C00"/>
        <bgColor rgb="FFE62C00"/>
      </patternFill>
    </fill>
    <fill>
      <patternFill patternType="solid">
        <fgColor rgb="FFD8D8D8"/>
        <bgColor rgb="FFD8D8D8"/>
      </patternFill>
    </fill>
    <fill>
      <patternFill patternType="solid">
        <fgColor rgb="FFC6D9F0"/>
        <bgColor rgb="FFC6D9F0"/>
      </patternFill>
    </fill>
    <fill>
      <patternFill patternType="solid">
        <fgColor rgb="FFEAF1DD"/>
        <bgColor rgb="FFEAF1DD"/>
      </patternFill>
    </fill>
    <fill>
      <patternFill patternType="solid">
        <fgColor rgb="FFFDE9D9"/>
        <bgColor rgb="FFFDE9D9"/>
      </patternFill>
    </fill>
    <fill>
      <patternFill patternType="solid">
        <fgColor rgb="FFF2F2F2"/>
        <bgColor rgb="FFF2F2F2"/>
      </patternFill>
    </fill>
    <fill>
      <patternFill patternType="solid">
        <fgColor rgb="FFE5DFEC"/>
        <bgColor rgb="FFE5DFEC"/>
      </patternFill>
    </fill>
    <fill>
      <patternFill patternType="solid">
        <fgColor rgb="FFF2DBDB"/>
        <bgColor rgb="FFF2DBDB"/>
      </patternFill>
    </fill>
    <fill>
      <patternFill patternType="solid">
        <fgColor rgb="FFFF0000"/>
        <bgColor rgb="FFFF0000"/>
      </patternFill>
    </fill>
    <fill>
      <patternFill patternType="solid">
        <fgColor rgb="FFE5B8B7"/>
        <bgColor rgb="FFE5B8B7"/>
      </patternFill>
    </fill>
    <fill>
      <patternFill patternType="solid">
        <fgColor rgb="FFA5A5A5"/>
        <bgColor rgb="FFA5A5A5"/>
      </patternFill>
    </fill>
    <fill>
      <patternFill patternType="solid">
        <fgColor rgb="FFBFBFBF"/>
        <bgColor rgb="FFBFBFBF"/>
      </patternFill>
    </fill>
    <fill>
      <patternFill patternType="solid">
        <fgColor rgb="FFFFFF66"/>
        <bgColor rgb="FFFFFF66"/>
      </patternFill>
    </fill>
  </fills>
  <borders count="29">
    <border/>
    <border>
      <left style="thick">
        <color rgb="FF7F7F7F"/>
      </left>
      <top style="thick">
        <color rgb="FF7F7F7F"/>
      </top>
    </border>
    <border>
      <top style="thick">
        <color rgb="FF7F7F7F"/>
      </top>
    </border>
    <border>
      <right style="thick">
        <color rgb="FF7F7F7F"/>
      </right>
      <top style="thick">
        <color rgb="FF7F7F7F"/>
      </top>
    </border>
    <border>
      <left style="thick">
        <color rgb="FF7F7F7F"/>
      </left>
    </border>
    <border>
      <right style="thick">
        <color rgb="FF7F7F7F"/>
      </right>
    </border>
    <border>
      <left style="thick">
        <color rgb="FF7F7F7F"/>
      </left>
      <bottom style="thick">
        <color rgb="FF7F7F7F"/>
      </bottom>
    </border>
    <border>
      <bottom style="thick">
        <color rgb="FF7F7F7F"/>
      </bottom>
    </border>
    <border>
      <right style="thick">
        <color rgb="FF7F7F7F"/>
      </right>
      <bottom style="thick">
        <color rgb="FF7F7F7F"/>
      </bottom>
    </border>
    <border>
      <bottom style="medium">
        <color rgb="FFFF0000"/>
      </bottom>
    </border>
    <border>
      <left/>
      <right/>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bottom/>
    </border>
    <border>
      <left style="thin">
        <color rgb="FF000000"/>
      </left>
      <right style="thin">
        <color rgb="FF000000"/>
      </right>
      <top style="thin">
        <color rgb="FF000000"/>
      </top>
      <bottom style="thin">
        <color rgb="FF000000"/>
      </bottom>
    </border>
    <border>
      <left/>
      <top/>
      <bottom/>
    </border>
    <border>
      <top/>
      <bottom/>
    </border>
    <border>
      <right/>
      <top/>
      <bottom/>
    </border>
    <border>
      <left style="thick">
        <color rgb="FF000000"/>
      </left>
      <right style="thick">
        <color rgb="FF000000"/>
      </right>
      <top style="thick">
        <color rgb="FF000000"/>
      </top>
      <bottom style="thick">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border>
    <border>
      <left style="thin">
        <color rgb="FF000000"/>
      </left>
      <right style="medium">
        <color rgb="FF000000"/>
      </right>
      <top style="thin">
        <color rgb="FF000000"/>
      </top>
      <bottom style="thin">
        <color rgb="FF000000"/>
      </bottom>
    </border>
    <border>
      <left style="medium">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top/>
      <bottom/>
    </border>
  </borders>
  <cellStyleXfs count="1">
    <xf borderId="0" fillId="0" fontId="0" numFmtId="0" applyAlignment="1" applyFont="1"/>
  </cellStyleXfs>
  <cellXfs count="85">
    <xf borderId="0" fillId="0" fontId="0" numFmtId="0" xfId="0" applyAlignment="1" applyFont="1">
      <alignment readingOrder="0" shrinkToFit="0" vertical="bottom" wrapText="0"/>
    </xf>
    <xf borderId="1" fillId="0" fontId="1" numFmtId="0" xfId="0" applyBorder="1" applyFont="1"/>
    <xf borderId="2" fillId="0" fontId="1" numFmtId="0" xfId="0" applyBorder="1" applyFont="1"/>
    <xf borderId="0" fillId="0" fontId="1" numFmtId="0" xfId="0" applyFont="1"/>
    <xf borderId="2" fillId="0" fontId="2" numFmtId="0" xfId="0" applyAlignment="1" applyBorder="1" applyFont="1">
      <alignment horizontal="center" vertical="center"/>
    </xf>
    <xf borderId="2" fillId="0" fontId="3" numFmtId="0" xfId="0" applyBorder="1" applyFont="1"/>
    <xf borderId="3" fillId="0" fontId="3" numFmtId="0" xfId="0" applyBorder="1" applyFont="1"/>
    <xf borderId="4" fillId="0" fontId="1" numFmtId="0" xfId="0" applyBorder="1" applyFont="1"/>
    <xf borderId="0" fillId="0" fontId="4" numFmtId="0" xfId="0" applyAlignment="1" applyFont="1">
      <alignment vertical="center"/>
    </xf>
    <xf borderId="5" fillId="0" fontId="3" numFmtId="0" xfId="0" applyBorder="1" applyFont="1"/>
    <xf borderId="0" fillId="0" fontId="5" numFmtId="0" xfId="0" applyAlignment="1" applyFont="1">
      <alignment horizontal="center" vertical="center"/>
    </xf>
    <xf borderId="6" fillId="0" fontId="1" numFmtId="0" xfId="0" applyBorder="1" applyFont="1"/>
    <xf borderId="7" fillId="0" fontId="1" numFmtId="0" xfId="0" applyBorder="1" applyFont="1"/>
    <xf borderId="7" fillId="0" fontId="5" numFmtId="0" xfId="0" applyAlignment="1" applyBorder="1" applyFont="1">
      <alignment vertical="center"/>
    </xf>
    <xf borderId="7" fillId="0" fontId="3" numFmtId="0" xfId="0" applyBorder="1" applyFont="1"/>
    <xf borderId="8" fillId="0" fontId="3" numFmtId="0" xfId="0" applyBorder="1" applyFont="1"/>
    <xf borderId="0" fillId="0" fontId="6" numFmtId="0" xfId="0" applyAlignment="1" applyFont="1">
      <alignment horizontal="center" vertical="center"/>
    </xf>
    <xf borderId="9" fillId="0" fontId="6" numFmtId="0" xfId="0" applyBorder="1" applyFont="1"/>
    <xf borderId="9" fillId="0" fontId="1" numFmtId="0" xfId="0" applyBorder="1" applyFont="1"/>
    <xf borderId="0" fillId="0" fontId="1" numFmtId="0" xfId="0" applyAlignment="1" applyFont="1">
      <alignment horizontal="center" vertical="center"/>
    </xf>
    <xf borderId="0" fillId="0" fontId="1" numFmtId="0" xfId="0" applyAlignment="1" applyFont="1">
      <alignment vertical="top"/>
    </xf>
    <xf borderId="0" fillId="0" fontId="7" numFmtId="0" xfId="0" applyAlignment="1" applyFont="1">
      <alignment horizontal="center" vertical="center"/>
    </xf>
    <xf borderId="0" fillId="0" fontId="1" numFmtId="0" xfId="0" applyAlignment="1" applyFont="1">
      <alignment vertical="center"/>
    </xf>
    <xf borderId="0" fillId="0" fontId="7" numFmtId="0" xfId="0" applyAlignment="1" applyFont="1">
      <alignment horizontal="center" vertical="top"/>
    </xf>
    <xf borderId="0" fillId="0" fontId="1" numFmtId="0" xfId="0" applyAlignment="1" applyFont="1">
      <alignment horizontal="left" shrinkToFit="0" vertical="top" wrapText="1"/>
    </xf>
    <xf borderId="10" fillId="2" fontId="1" numFmtId="0" xfId="0" applyAlignment="1" applyBorder="1" applyFill="1" applyFont="1">
      <alignment vertical="center"/>
    </xf>
    <xf borderId="11" fillId="3" fontId="8" numFmtId="0" xfId="0" applyAlignment="1" applyBorder="1" applyFill="1" applyFont="1">
      <alignment horizontal="center" shrinkToFit="0" vertical="center" wrapText="1"/>
    </xf>
    <xf borderId="12" fillId="0" fontId="3" numFmtId="0" xfId="0" applyBorder="1" applyFont="1"/>
    <xf borderId="13" fillId="0" fontId="3" numFmtId="0" xfId="0" applyBorder="1" applyFont="1"/>
    <xf borderId="14" fillId="4" fontId="9" numFmtId="0" xfId="0" applyAlignment="1" applyBorder="1" applyFill="1" applyFont="1">
      <alignment horizontal="center" shrinkToFit="0" vertical="center" wrapText="1"/>
    </xf>
    <xf borderId="15" fillId="2" fontId="10" numFmtId="0" xfId="0" applyAlignment="1" applyBorder="1" applyFont="1">
      <alignment vertical="center"/>
    </xf>
    <xf borderId="15" fillId="2" fontId="10" numFmtId="0" xfId="0" applyAlignment="1" applyBorder="1" applyFont="1">
      <alignment shrinkToFit="0" vertical="center" wrapText="1"/>
    </xf>
    <xf borderId="15" fillId="2" fontId="10" numFmtId="0" xfId="0" applyAlignment="1" applyBorder="1" applyFont="1">
      <alignment horizontal="center" vertical="center"/>
    </xf>
    <xf borderId="15" fillId="2" fontId="11" numFmtId="0" xfId="0" applyAlignment="1" applyBorder="1" applyFont="1">
      <alignment horizontal="center" vertical="center"/>
    </xf>
    <xf borderId="11" fillId="3" fontId="8" numFmtId="0" xfId="0" applyAlignment="1" applyBorder="1" applyFont="1">
      <alignment horizontal="center" vertical="center"/>
    </xf>
    <xf borderId="15" fillId="2" fontId="1" numFmtId="0" xfId="0" applyAlignment="1" applyBorder="1" applyFont="1">
      <alignment horizontal="center" shrinkToFit="0" vertical="center" wrapText="1"/>
    </xf>
    <xf borderId="15" fillId="2" fontId="1" numFmtId="0" xfId="0" applyAlignment="1" applyBorder="1" applyFont="1">
      <alignment horizontal="left" vertical="center"/>
    </xf>
    <xf borderId="15" fillId="2" fontId="1" numFmtId="0" xfId="0" applyAlignment="1" applyBorder="1" applyFont="1">
      <alignment horizontal="left" shrinkToFit="0" vertical="center" wrapText="1"/>
    </xf>
    <xf borderId="15" fillId="2" fontId="1" numFmtId="16" xfId="0" applyAlignment="1" applyBorder="1" applyFont="1" applyNumberFormat="1">
      <alignment horizontal="center" vertical="center"/>
    </xf>
    <xf borderId="15" fillId="2" fontId="1" numFmtId="0" xfId="0" applyAlignment="1" applyBorder="1" applyFont="1">
      <alignment horizontal="center" vertical="center"/>
    </xf>
    <xf borderId="10" fillId="3" fontId="8" numFmtId="0" xfId="0" applyAlignment="1" applyBorder="1" applyFont="1">
      <alignment horizontal="center" vertical="center"/>
    </xf>
    <xf borderId="10" fillId="2" fontId="1" numFmtId="0" xfId="0" applyAlignment="1" applyBorder="1" applyFont="1">
      <alignment horizontal="center" vertical="center"/>
    </xf>
    <xf borderId="16" fillId="3" fontId="8" numFmtId="0" xfId="0" applyAlignment="1" applyBorder="1" applyFont="1">
      <alignment horizontal="center" vertical="center"/>
    </xf>
    <xf borderId="17" fillId="0" fontId="3" numFmtId="0" xfId="0" applyBorder="1" applyFont="1"/>
    <xf borderId="18" fillId="0" fontId="3" numFmtId="0" xfId="0" applyBorder="1" applyFont="1"/>
    <xf borderId="10" fillId="5" fontId="1" numFmtId="0" xfId="0" applyAlignment="1" applyBorder="1" applyFill="1" applyFont="1">
      <alignment vertical="center"/>
    </xf>
    <xf borderId="16" fillId="6" fontId="1" numFmtId="0" xfId="0" applyAlignment="1" applyBorder="1" applyFill="1" applyFont="1">
      <alignment horizontal="left" vertical="center"/>
    </xf>
    <xf borderId="16" fillId="7" fontId="1" numFmtId="0" xfId="0" applyAlignment="1" applyBorder="1" applyFill="1" applyFont="1">
      <alignment horizontal="left" vertical="center"/>
    </xf>
    <xf borderId="10" fillId="8" fontId="1" numFmtId="0" xfId="0" applyAlignment="1" applyBorder="1" applyFill="1" applyFont="1">
      <alignment vertical="center"/>
    </xf>
    <xf borderId="16" fillId="9" fontId="1" numFmtId="0" xfId="0" applyAlignment="1" applyBorder="1" applyFill="1" applyFont="1">
      <alignment horizontal="left" vertical="center"/>
    </xf>
    <xf borderId="16" fillId="10" fontId="1" numFmtId="0" xfId="0" applyAlignment="1" applyBorder="1" applyFill="1" applyFont="1">
      <alignment horizontal="left" vertical="center"/>
    </xf>
    <xf borderId="19" fillId="0" fontId="12" numFmtId="0" xfId="0" applyAlignment="1" applyBorder="1" applyFont="1">
      <alignment horizontal="center"/>
    </xf>
    <xf borderId="19" fillId="0" fontId="12" numFmtId="0" xfId="0" applyAlignment="1" applyBorder="1" applyFont="1">
      <alignment horizontal="center" shrinkToFit="0" wrapText="1"/>
    </xf>
    <xf borderId="0" fillId="0" fontId="1" numFmtId="0" xfId="0" applyAlignment="1" applyFont="1">
      <alignment shrinkToFit="0" wrapText="1"/>
    </xf>
    <xf borderId="20" fillId="11" fontId="13" numFmtId="0" xfId="0" applyAlignment="1" applyBorder="1" applyFill="1" applyFont="1">
      <alignment horizontal="center" vertical="top"/>
    </xf>
    <xf borderId="21" fillId="0" fontId="1" numFmtId="0" xfId="0" applyAlignment="1" applyBorder="1" applyFont="1">
      <alignment horizontal="center"/>
    </xf>
    <xf borderId="21" fillId="0" fontId="1" numFmtId="0" xfId="0" applyAlignment="1" applyBorder="1" applyFont="1">
      <alignment shrinkToFit="0" vertical="center" wrapText="1"/>
    </xf>
    <xf borderId="22" fillId="12" fontId="1" numFmtId="0" xfId="0" applyAlignment="1" applyBorder="1" applyFill="1" applyFont="1">
      <alignment horizontal="center" readingOrder="0"/>
    </xf>
    <xf borderId="23" fillId="0" fontId="3" numFmtId="0" xfId="0" applyBorder="1" applyFont="1"/>
    <xf borderId="15" fillId="0" fontId="1" numFmtId="0" xfId="0" applyAlignment="1" applyBorder="1" applyFont="1">
      <alignment horizontal="center"/>
    </xf>
    <xf borderId="15" fillId="0" fontId="1" numFmtId="0" xfId="0" applyAlignment="1" applyBorder="1" applyFont="1">
      <alignment shrinkToFit="0" vertical="center" wrapText="1"/>
    </xf>
    <xf borderId="24" fillId="12" fontId="1" numFmtId="0" xfId="0" applyAlignment="1" applyBorder="1" applyFont="1">
      <alignment horizontal="center"/>
    </xf>
    <xf borderId="25" fillId="0" fontId="3" numFmtId="0" xfId="0" applyBorder="1" applyFont="1"/>
    <xf borderId="26" fillId="0" fontId="1" numFmtId="0" xfId="0" applyAlignment="1" applyBorder="1" applyFont="1">
      <alignment horizontal="center"/>
    </xf>
    <xf borderId="26" fillId="0" fontId="1" numFmtId="0" xfId="0" applyAlignment="1" applyBorder="1" applyFont="1">
      <alignment shrinkToFit="0" wrapText="1"/>
    </xf>
    <xf borderId="27" fillId="12" fontId="1" numFmtId="0" xfId="0" applyAlignment="1" applyBorder="1" applyFont="1">
      <alignment horizontal="center" readingOrder="0"/>
    </xf>
    <xf borderId="20" fillId="13" fontId="13" numFmtId="0" xfId="0" applyAlignment="1" applyBorder="1" applyFill="1" applyFont="1">
      <alignment horizontal="center" vertical="top"/>
    </xf>
    <xf borderId="22" fillId="14" fontId="1" numFmtId="0" xfId="0" applyAlignment="1" applyBorder="1" applyFill="1" applyFont="1">
      <alignment horizontal="center"/>
    </xf>
    <xf borderId="15" fillId="0" fontId="1" numFmtId="0" xfId="0" applyAlignment="1" applyBorder="1" applyFont="1">
      <alignment horizontal="left" shrinkToFit="0" vertical="center" wrapText="1"/>
    </xf>
    <xf borderId="24" fillId="14" fontId="1" numFmtId="0" xfId="0" applyAlignment="1" applyBorder="1" applyFont="1">
      <alignment horizontal="center"/>
    </xf>
    <xf borderId="27" fillId="14" fontId="1" numFmtId="0" xfId="0" applyAlignment="1" applyBorder="1" applyFont="1">
      <alignment horizontal="center"/>
    </xf>
    <xf borderId="20" fillId="15" fontId="12" numFmtId="0" xfId="0" applyAlignment="1" applyBorder="1" applyFill="1" applyFont="1">
      <alignment horizontal="center" vertical="top"/>
    </xf>
    <xf borderId="22" fillId="15" fontId="1" numFmtId="0" xfId="0" applyAlignment="1" applyBorder="1" applyFont="1">
      <alignment horizontal="center" readingOrder="0"/>
    </xf>
    <xf borderId="24" fillId="15" fontId="1" numFmtId="0" xfId="0" applyAlignment="1" applyBorder="1" applyFont="1">
      <alignment horizontal="center" readingOrder="0"/>
    </xf>
    <xf borderId="27" fillId="15" fontId="1" numFmtId="0" xfId="0" applyAlignment="1" applyBorder="1" applyFont="1">
      <alignment horizontal="center" readingOrder="0"/>
    </xf>
    <xf borderId="0" fillId="0" fontId="14" numFmtId="0" xfId="0" applyFont="1"/>
    <xf borderId="0" fillId="0" fontId="15" numFmtId="0" xfId="0" applyFont="1"/>
    <xf borderId="0" fillId="0" fontId="15" numFmtId="0" xfId="0" applyAlignment="1" applyFont="1">
      <alignment readingOrder="0"/>
    </xf>
    <xf borderId="10" fillId="6" fontId="1" numFmtId="0" xfId="0" applyAlignment="1" applyBorder="1" applyFont="1">
      <alignment vertical="center"/>
    </xf>
    <xf borderId="0" fillId="0" fontId="14" numFmtId="0" xfId="0" applyAlignment="1" applyFont="1">
      <alignment readingOrder="0"/>
    </xf>
    <xf borderId="10" fillId="10" fontId="1" numFmtId="0" xfId="0" applyAlignment="1" applyBorder="1" applyFont="1">
      <alignment vertical="center"/>
    </xf>
    <xf borderId="10" fillId="7" fontId="1" numFmtId="0" xfId="0" applyAlignment="1" applyBorder="1" applyFont="1">
      <alignment vertical="center"/>
    </xf>
    <xf borderId="10" fillId="9" fontId="1" numFmtId="0" xfId="0" applyAlignment="1" applyBorder="1" applyFont="1">
      <alignment vertical="center"/>
    </xf>
    <xf borderId="28" fillId="3" fontId="8" numFmtId="0" xfId="0" applyAlignment="1" applyBorder="1" applyFont="1">
      <alignment horizontal="center" shrinkToFit="0" vertical="center" wrapText="1"/>
    </xf>
    <xf borderId="0" fillId="0" fontId="15" numFmtId="0" xfId="0" applyAlignment="1" applyFont="1">
      <alignment shrinkToFit="0" wrapText="1"/>
    </xf>
  </cellXfs>
  <cellStyles count="1">
    <cellStyle xfId="0" name="Normal" builtinId="0"/>
  </cellStyles>
  <dxfs count="6">
    <dxf>
      <font/>
      <fill>
        <patternFill patternType="solid">
          <fgColor rgb="FF00B050"/>
          <bgColor rgb="FF00B050"/>
        </patternFill>
      </fill>
      <border/>
    </dxf>
    <dxf>
      <font/>
      <fill>
        <patternFill patternType="solid">
          <fgColor rgb="FFFF0000"/>
          <bgColor rgb="FFFF0000"/>
        </patternFill>
      </fill>
      <border/>
    </dxf>
    <dxf>
      <font/>
      <fill>
        <patternFill patternType="solid">
          <fgColor rgb="FFFF9900"/>
          <bgColor rgb="FFFF9900"/>
        </patternFill>
      </fill>
      <border/>
    </dxf>
    <dxf>
      <font/>
      <fill>
        <patternFill patternType="solid">
          <fgColor rgb="FFFFCC00"/>
          <bgColor rgb="FFFFCC00"/>
        </patternFill>
      </fill>
      <border/>
    </dxf>
    <dxf>
      <font/>
      <fill>
        <patternFill patternType="solid">
          <fgColor rgb="FFFFFF66"/>
          <bgColor rgb="FFFFFF66"/>
        </patternFill>
      </fill>
      <border/>
    </dxf>
    <dxf>
      <font/>
      <fill>
        <patternFill patternType="solid">
          <fgColor rgb="FF92D050"/>
          <bgColor rgb="FF92D05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238125</xdr:colOff>
      <xdr:row>0</xdr:row>
      <xdr:rowOff>152400</xdr:rowOff>
    </xdr:from>
    <xdr:ext cx="2476500" cy="6096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381000</xdr:colOff>
      <xdr:row>0</xdr:row>
      <xdr:rowOff>314325</xdr:rowOff>
    </xdr:from>
    <xdr:ext cx="9286875" cy="4010025"/>
    <xdr:sp>
      <xdr:nvSpPr>
        <xdr:cNvPr id="3" name="Shape 3"/>
        <xdr:cNvSpPr txBox="1"/>
      </xdr:nvSpPr>
      <xdr:spPr>
        <a:xfrm>
          <a:off x="705007" y="1776282"/>
          <a:ext cx="9281987" cy="400743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Este documento permite realizar un análisis de riesgos sencillo en base a una escala de probababilidad e impacto de tres niveles. Instrucciones:				</a:t>
          </a:r>
          <a:endParaRPr sz="1400"/>
        </a:p>
        <a:p>
          <a:pPr indent="0" lvl="0" marL="0" rtl="0" algn="l">
            <a:lnSpc>
              <a:spcPct val="127272"/>
            </a:lnSpc>
            <a:spcBef>
              <a:spcPts val="400"/>
            </a:spcBef>
            <a:spcAft>
              <a:spcPts val="0"/>
            </a:spcAft>
            <a:buNone/>
          </a:pP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1. Determinar el riesgo aceptable </a:t>
          </a:r>
          <a:r>
            <a:rPr lang="en-US" sz="1100">
              <a:solidFill>
                <a:schemeClr val="dk1"/>
              </a:solidFill>
              <a:latin typeface="Arial"/>
              <a:ea typeface="Arial"/>
              <a:cs typeface="Arial"/>
              <a:sym typeface="Arial"/>
            </a:rPr>
            <a:t>por la organización, e indicarlo en la  pestaña "Tablas AR".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2. Identificar los activos críticos </a:t>
          </a:r>
          <a:r>
            <a:rPr lang="en-US" sz="1100">
              <a:solidFill>
                <a:schemeClr val="dk1"/>
              </a:solidFill>
              <a:latin typeface="Arial"/>
              <a:ea typeface="Arial"/>
              <a:cs typeface="Arial"/>
              <a:sym typeface="Arial"/>
            </a:rPr>
            <a:t>de la organización.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3. Identificar las amenazas </a:t>
          </a:r>
          <a:r>
            <a:rPr lang="en-US" sz="1100">
              <a:solidFill>
                <a:schemeClr val="dk1"/>
              </a:solidFill>
              <a:latin typeface="Arial"/>
              <a:ea typeface="Arial"/>
              <a:cs typeface="Arial"/>
              <a:sym typeface="Arial"/>
            </a:rPr>
            <a:t>que aplican a cada uno de los activos críticos, según la pestaña "</a:t>
          </a:r>
          <a:r>
            <a:rPr b="1" lang="en-US" sz="1100">
              <a:solidFill>
                <a:schemeClr val="dk1"/>
              </a:solidFill>
              <a:latin typeface="Arial"/>
              <a:ea typeface="Arial"/>
              <a:cs typeface="Arial"/>
              <a:sym typeface="Arial"/>
            </a:rPr>
            <a:t>Catálogo Amenazas</a:t>
          </a:r>
          <a:r>
            <a:rPr lang="en-US" sz="1100">
              <a:solidFill>
                <a:schemeClr val="dk1"/>
              </a:solidFill>
              <a:latin typeface="Arial"/>
              <a:ea typeface="Arial"/>
              <a:cs typeface="Arial"/>
              <a:sym typeface="Arial"/>
            </a:rPr>
            <a:t>".</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4. Establecer la probabilidad y el impacto </a:t>
          </a:r>
          <a:r>
            <a:rPr lang="en-US" sz="1100">
              <a:solidFill>
                <a:schemeClr val="dk1"/>
              </a:solidFill>
              <a:latin typeface="Arial"/>
              <a:ea typeface="Arial"/>
              <a:cs typeface="Arial"/>
              <a:sym typeface="Arial"/>
            </a:rPr>
            <a:t>de que dicha amenaza se materialice, según los valores de la pestaña "</a:t>
          </a:r>
          <a:r>
            <a:rPr b="1" lang="en-US" sz="1100">
              <a:solidFill>
                <a:schemeClr val="dk1"/>
              </a:solidFill>
              <a:latin typeface="Arial"/>
              <a:ea typeface="Arial"/>
              <a:cs typeface="Arial"/>
              <a:sym typeface="Arial"/>
            </a:rPr>
            <a:t>Tablas AR</a:t>
          </a:r>
          <a:r>
            <a:rPr lang="en-US" sz="1100">
              <a:solidFill>
                <a:schemeClr val="dk1"/>
              </a:solidFill>
              <a:latin typeface="Arial"/>
              <a:ea typeface="Arial"/>
              <a:cs typeface="Arial"/>
              <a:sym typeface="Arial"/>
            </a:rPr>
            <a:t>".</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5. Establecer medidas </a:t>
          </a:r>
          <a:r>
            <a:rPr lang="en-US" sz="1100">
              <a:solidFill>
                <a:schemeClr val="dk1"/>
              </a:solidFill>
              <a:latin typeface="Arial"/>
              <a:ea typeface="Arial"/>
              <a:cs typeface="Arial"/>
              <a:sym typeface="Arial"/>
            </a:rPr>
            <a:t>para aquellos riesgos que superen el riesgo aceptable indicado.</a:t>
          </a:r>
          <a:endParaRPr sz="1400"/>
        </a:p>
        <a:p>
          <a:pPr indent="0" lvl="0" marL="0" rtl="0" algn="l">
            <a:lnSpc>
              <a:spcPct val="136363"/>
            </a:lnSpc>
            <a:spcBef>
              <a:spcPts val="400"/>
            </a:spcBef>
            <a:spcAft>
              <a:spcPts val="0"/>
            </a:spcAft>
            <a:buNone/>
          </a:pPr>
          <a:r>
            <a:t/>
          </a:r>
          <a:endParaRPr sz="1100">
            <a:latin typeface="Arial"/>
            <a:ea typeface="Arial"/>
            <a:cs typeface="Arial"/>
            <a:sym typeface="Arial"/>
          </a:endParaRPr>
        </a:p>
        <a:p>
          <a:pPr indent="0" lvl="0" marL="0" rtl="0" algn="l">
            <a:lnSpc>
              <a:spcPct val="127272"/>
            </a:lnSpc>
            <a:spcBef>
              <a:spcPts val="400"/>
            </a:spcBef>
            <a:spcAft>
              <a:spcPts val="0"/>
            </a:spcAft>
            <a:buNone/>
          </a:pPr>
          <a:r>
            <a:rPr lang="en-US" sz="1100">
              <a:solidFill>
                <a:schemeClr val="dk1"/>
              </a:solidFill>
              <a:latin typeface="Arial"/>
              <a:ea typeface="Arial"/>
              <a:cs typeface="Arial"/>
              <a:sym typeface="Arial"/>
            </a:rPr>
            <a:t>Campos</a:t>
          </a:r>
          <a:r>
            <a:rPr lang="en-US" sz="1100">
              <a:solidFill>
                <a:schemeClr val="dk1"/>
              </a:solidFill>
              <a:latin typeface="Arial"/>
              <a:ea typeface="Arial"/>
              <a:cs typeface="Arial"/>
              <a:sym typeface="Arial"/>
            </a:rPr>
            <a:t> de la tabla:</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Activo</a:t>
          </a:r>
          <a:r>
            <a:rPr lang="en-US" sz="1100">
              <a:solidFill>
                <a:schemeClr val="dk1"/>
              </a:solidFill>
              <a:latin typeface="Arial"/>
              <a:ea typeface="Arial"/>
              <a:cs typeface="Arial"/>
              <a:sym typeface="Arial"/>
            </a:rPr>
            <a:t>: Nombre del activo sobre el que se evalúa el riesgo.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Amenaza</a:t>
          </a:r>
          <a:r>
            <a:rPr lang="en-US" sz="1100">
              <a:solidFill>
                <a:schemeClr val="dk1"/>
              </a:solidFill>
              <a:latin typeface="Arial"/>
              <a:ea typeface="Arial"/>
              <a:cs typeface="Arial"/>
              <a:sym typeface="Arial"/>
            </a:rPr>
            <a:t>: Descripción de la amenaza a la que está expuesta el activo.</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Probabilidad</a:t>
          </a:r>
          <a:r>
            <a:rPr lang="en-US" sz="1100">
              <a:solidFill>
                <a:schemeClr val="dk1"/>
              </a:solidFill>
              <a:latin typeface="Arial"/>
              <a:ea typeface="Arial"/>
              <a:cs typeface="Arial"/>
              <a:sym typeface="Arial"/>
            </a:rPr>
            <a:t>. Probabilidad de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Impacto</a:t>
          </a:r>
          <a:r>
            <a:rPr lang="en-US" sz="1100">
              <a:solidFill>
                <a:schemeClr val="dk1"/>
              </a:solidFill>
              <a:latin typeface="Arial"/>
              <a:ea typeface="Arial"/>
              <a:cs typeface="Arial"/>
              <a:sym typeface="Arial"/>
            </a:rPr>
            <a:t>. Impacto derivado de la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Riesgo</a:t>
          </a:r>
          <a:r>
            <a:rPr lang="en-US" sz="1100">
              <a:solidFill>
                <a:schemeClr val="dk1"/>
              </a:solidFill>
              <a:latin typeface="Arial"/>
              <a:ea typeface="Arial"/>
              <a:cs typeface="Arial"/>
              <a:sym typeface="Arial"/>
            </a:rPr>
            <a:t>. Valor de riesgo resultante.</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90909"/>
            </a:lnSpc>
            <a:spcBef>
              <a:spcPts val="400"/>
            </a:spcBef>
            <a:spcAft>
              <a:spcPts val="0"/>
            </a:spcAft>
            <a:buNone/>
          </a:pPr>
          <a:r>
            <a:rPr lang="en-US" sz="1100">
              <a:solidFill>
                <a:schemeClr val="dk1"/>
              </a:solidFill>
              <a:latin typeface="Arial"/>
              <a:ea typeface="Arial"/>
              <a:cs typeface="Arial"/>
              <a:sym typeface="Arial"/>
            </a:rPr>
            <a:t>En las pestañas de la hoja Excel se incluye información relevante sobre los niveles orientativos  de probabilidad y riesgo, así como un catálogo de amenazas básico.</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81818"/>
            </a:lnSpc>
            <a:spcBef>
              <a:spcPts val="400"/>
            </a:spcBef>
            <a:spcAft>
              <a:spcPts val="0"/>
            </a:spcAft>
            <a:buNone/>
          </a:pPr>
          <a:r>
            <a:t/>
          </a:r>
          <a:endParaRPr sz="1100">
            <a:latin typeface="Arial"/>
            <a:ea typeface="Arial"/>
            <a:cs typeface="Arial"/>
            <a:sym typeface="Arial"/>
          </a:endParaRPr>
        </a:p>
      </xdr:txBody>
    </xdr:sp>
    <xdr:clientData fLocksWithSheet="0"/>
  </xdr:oneCellAnchor>
  <xdr:oneCellAnchor>
    <xdr:from>
      <xdr:col>1</xdr:col>
      <xdr:colOff>-9525</xdr:colOff>
      <xdr:row>0</xdr:row>
      <xdr:rowOff>4333875</xdr:rowOff>
    </xdr:from>
    <xdr:ext cx="11620500" cy="514350"/>
    <xdr:sp>
      <xdr:nvSpPr>
        <xdr:cNvPr id="4" name="Shape 4"/>
        <xdr:cNvSpPr txBox="1"/>
      </xdr:nvSpPr>
      <xdr:spPr>
        <a:xfrm>
          <a:off x="0" y="3537113"/>
          <a:ext cx="10692000" cy="485775"/>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1</xdr:col>
      <xdr:colOff>85725</xdr:colOff>
      <xdr:row>0</xdr:row>
      <xdr:rowOff>685800</xdr:rowOff>
    </xdr:from>
    <xdr:ext cx="2476500" cy="6096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1647825</xdr:colOff>
      <xdr:row>0</xdr:row>
      <xdr:rowOff>133350</xdr:rowOff>
    </xdr:from>
    <xdr:ext cx="8610600" cy="1152525"/>
    <xdr:sp>
      <xdr:nvSpPr>
        <xdr:cNvPr id="5" name="Shape 5"/>
        <xdr:cNvSpPr txBox="1"/>
      </xdr:nvSpPr>
      <xdr:spPr>
        <a:xfrm>
          <a:off x="1041923" y="3205326"/>
          <a:ext cx="8608155" cy="1149348"/>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Debajo se recogen</a:t>
          </a:r>
          <a:r>
            <a:rPr lang="en-US" sz="1100">
              <a:solidFill>
                <a:schemeClr val="dk1"/>
              </a:solidFill>
              <a:latin typeface="Arial"/>
              <a:ea typeface="Arial"/>
              <a:cs typeface="Arial"/>
              <a:sym typeface="Arial"/>
            </a:rPr>
            <a:t> tablas orientativas para realizar las valoraciones de impacto según escalas de tres valores. En función del nivel de detalle que se desee conseguir, puede aumentarse el número de intervalos de la escala.</a:t>
          </a:r>
          <a:endParaRPr sz="1400"/>
        </a:p>
        <a:p>
          <a:pPr indent="0" lvl="0" marL="0" rtl="0" algn="l">
            <a:lnSpc>
              <a:spcPct val="118181"/>
            </a:lnSpc>
            <a:spcBef>
              <a:spcPts val="400"/>
            </a:spcBef>
            <a:spcAft>
              <a:spcPts val="0"/>
            </a:spcAft>
            <a:buNone/>
          </a:pPr>
          <a:r>
            <a:t/>
          </a:r>
          <a:endParaRPr sz="1100">
            <a:latin typeface="Arial"/>
            <a:ea typeface="Arial"/>
            <a:cs typeface="Arial"/>
            <a:sym typeface="Arial"/>
          </a:endParaRPr>
        </a:p>
        <a:p>
          <a:pPr indent="0" lvl="0" marL="0" rtl="0" algn="l">
            <a:spcBef>
              <a:spcPts val="400"/>
            </a:spcBef>
            <a:spcAft>
              <a:spcPts val="0"/>
            </a:spcAft>
            <a:buNone/>
          </a:pPr>
          <a:r>
            <a:rPr lang="en-US" sz="1100">
              <a:solidFill>
                <a:schemeClr val="dk1"/>
              </a:solidFill>
              <a:latin typeface="Arial"/>
              <a:ea typeface="Arial"/>
              <a:cs typeface="Arial"/>
              <a:sym typeface="Arial"/>
            </a:rPr>
            <a:t>Asimismo, se incluye una tabla para la definición del riesgo aceptable, que debe ser definido previamente a la realización del análisis de riesgos de acuerdo a la estrategia corporativa.</a:t>
          </a:r>
          <a:endParaRPr sz="1100">
            <a:latin typeface="Arial"/>
            <a:ea typeface="Arial"/>
            <a:cs typeface="Arial"/>
            <a:sym typeface="Arial"/>
          </a:endParaRPr>
        </a:p>
      </xdr:txBody>
    </xdr:sp>
    <xdr:clientData fLocksWithSheet="0"/>
  </xdr:oneCellAnchor>
  <xdr:oneCellAnchor>
    <xdr:from>
      <xdr:col>0</xdr:col>
      <xdr:colOff>390525</xdr:colOff>
      <xdr:row>17</xdr:row>
      <xdr:rowOff>152400</xdr:rowOff>
    </xdr:from>
    <xdr:ext cx="11115675" cy="504825"/>
    <xdr:sp>
      <xdr:nvSpPr>
        <xdr:cNvPr id="6" name="Shape 6"/>
        <xdr:cNvSpPr txBox="1"/>
      </xdr:nvSpPr>
      <xdr:spPr>
        <a:xfrm>
          <a:off x="0" y="3541875"/>
          <a:ext cx="10692000" cy="47625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4</xdr:col>
      <xdr:colOff>47625</xdr:colOff>
      <xdr:row>0</xdr:row>
      <xdr:rowOff>476250</xdr:rowOff>
    </xdr:from>
    <xdr:ext cx="3952875" cy="38481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oneCellAnchor>
    <xdr:from>
      <xdr:col>2</xdr:col>
      <xdr:colOff>1514475</xdr:colOff>
      <xdr:row>20</xdr:row>
      <xdr:rowOff>57150</xdr:rowOff>
    </xdr:from>
    <xdr:ext cx="2486025" cy="581025"/>
    <xdr:pic>
      <xdr:nvPicPr>
        <xdr:cNvPr id="0" name="image3.png" title="Imagen"/>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2628900</xdr:colOff>
      <xdr:row>0</xdr:row>
      <xdr:rowOff>238125</xdr:rowOff>
    </xdr:from>
    <xdr:ext cx="9496425" cy="1695450"/>
    <xdr:sp>
      <xdr:nvSpPr>
        <xdr:cNvPr id="7" name="Shape 7"/>
        <xdr:cNvSpPr txBox="1"/>
      </xdr:nvSpPr>
      <xdr:spPr>
        <a:xfrm>
          <a:off x="601784" y="2935917"/>
          <a:ext cx="9488433" cy="168816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400">
              <a:solidFill>
                <a:schemeClr val="dk1"/>
              </a:solidFill>
              <a:latin typeface="Arial"/>
              <a:ea typeface="Arial"/>
              <a:cs typeface="Arial"/>
              <a:sym typeface="Arial"/>
            </a:rPr>
            <a:t>El siguiente listado recoge las principales amenazas a considerar en el ámbito de un análisis de riesgos.</a:t>
          </a:r>
          <a:r>
            <a:rPr lang="en-US" sz="1400">
              <a:solidFill>
                <a:schemeClr val="dk1"/>
              </a:solidFill>
              <a:latin typeface="Arial"/>
              <a:ea typeface="Arial"/>
              <a:cs typeface="Arial"/>
              <a:sym typeface="Arial"/>
            </a:rPr>
            <a:t> </a:t>
          </a:r>
          <a:r>
            <a:rPr lang="en-US" sz="1400">
              <a:solidFill>
                <a:schemeClr val="dk1"/>
              </a:solidFill>
              <a:latin typeface="Arial"/>
              <a:ea typeface="Arial"/>
              <a:cs typeface="Arial"/>
              <a:sym typeface="Arial"/>
            </a:rPr>
            <a:t>Se trata de un extracto ligeramente modificado del catálogo de amenazas de MAGERIT.</a:t>
          </a:r>
          <a:endParaRPr sz="1400"/>
        </a:p>
        <a:p>
          <a:pPr indent="0" lvl="0" marL="0" rtl="0" algn="l">
            <a:spcBef>
              <a:spcPts val="1200"/>
            </a:spcBef>
            <a:spcAft>
              <a:spcPts val="0"/>
            </a:spcAft>
            <a:buNone/>
          </a:pPr>
          <a:r>
            <a:rPr lang="en-US" sz="1400">
              <a:solidFill>
                <a:schemeClr val="dk1"/>
              </a:solidFill>
              <a:latin typeface="Arial"/>
              <a:ea typeface="Arial"/>
              <a:cs typeface="Arial"/>
              <a:sym typeface="Arial"/>
            </a:rPr>
            <a:t>Para</a:t>
          </a:r>
          <a:r>
            <a:rPr lang="en-US" sz="1400">
              <a:solidFill>
                <a:schemeClr val="dk1"/>
              </a:solidFill>
              <a:latin typeface="Arial"/>
              <a:ea typeface="Arial"/>
              <a:cs typeface="Arial"/>
              <a:sym typeface="Arial"/>
            </a:rPr>
            <a:t> información más detallada, pueden consultarse los catálogos de MAGERIT V3 en su página web:</a:t>
          </a:r>
          <a:endParaRPr sz="1400"/>
        </a:p>
        <a:p>
          <a:pPr indent="0" lvl="0" marL="0" rtl="0" algn="l">
            <a:spcBef>
              <a:spcPts val="1200"/>
            </a:spcBef>
            <a:spcAft>
              <a:spcPts val="0"/>
            </a:spcAft>
            <a:buNone/>
          </a:pPr>
          <a:r>
            <a:rPr b="1" i="1" lang="en-US" sz="1400">
              <a:solidFill>
                <a:schemeClr val="dk1"/>
              </a:solidFill>
              <a:latin typeface="Arial"/>
              <a:ea typeface="Arial"/>
              <a:cs typeface="Arial"/>
              <a:sym typeface="Arial"/>
            </a:rPr>
            <a:t>http://administracionelectronica.gob.es/ctt/verPestanaDescargas.htm?idIniciativa=184#.U48C7Pl_tO4</a:t>
          </a:r>
          <a:endParaRPr sz="1400"/>
        </a:p>
      </xdr:txBody>
    </xdr:sp>
    <xdr:clientData fLocksWithSheet="0"/>
  </xdr:oneCellAnchor>
  <xdr:oneCellAnchor>
    <xdr:from>
      <xdr:col>1</xdr:col>
      <xdr:colOff>0</xdr:colOff>
      <xdr:row>0</xdr:row>
      <xdr:rowOff>2362200</xdr:rowOff>
    </xdr:from>
    <xdr:ext cx="11972925" cy="514350"/>
    <xdr:sp>
      <xdr:nvSpPr>
        <xdr:cNvPr id="8" name="Shape 8"/>
        <xdr:cNvSpPr txBox="1"/>
      </xdr:nvSpPr>
      <xdr:spPr>
        <a:xfrm>
          <a:off x="0" y="3532350"/>
          <a:ext cx="10692000" cy="49530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INCIBE no se responsabiliza del uso que pueda hacerse de la misma.</a:t>
          </a:r>
          <a:endParaRPr sz="1400"/>
        </a:p>
      </xdr:txBody>
    </xdr:sp>
    <xdr:clientData fLocksWithSheet="0"/>
  </xdr:oneCellAnchor>
  <xdr:oneCellAnchor>
    <xdr:from>
      <xdr:col>1</xdr:col>
      <xdr:colOff>28575</xdr:colOff>
      <xdr:row>0</xdr:row>
      <xdr:rowOff>609600</xdr:rowOff>
    </xdr:from>
    <xdr:ext cx="2476500" cy="581025"/>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752600" cy="533400"/>
    <xdr:pic>
      <xdr:nvPicPr>
        <xdr:cNvPr id="0" name="image6.png" title="Imagen"/>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29"/>
    <col customWidth="1" min="2" max="6" width="11.57"/>
    <col customWidth="1" min="7" max="7" width="13.29"/>
    <col customWidth="1" min="8" max="13" width="11.57"/>
    <col customWidth="1" min="14" max="14" width="22.0"/>
    <col customWidth="1" min="15" max="26" width="11.57"/>
  </cols>
  <sheetData>
    <row r="1" ht="23.25" customHeight="1">
      <c r="A1" s="1"/>
      <c r="B1" s="2"/>
      <c r="C1" s="2"/>
      <c r="D1" s="2"/>
      <c r="E1" s="3"/>
      <c r="F1" s="4" t="s">
        <v>0</v>
      </c>
      <c r="G1" s="5"/>
      <c r="H1" s="5"/>
      <c r="I1" s="5"/>
      <c r="J1" s="5"/>
      <c r="K1" s="5"/>
      <c r="L1" s="5"/>
      <c r="M1" s="5"/>
      <c r="N1" s="6"/>
      <c r="O1" s="3"/>
      <c r="P1" s="3"/>
      <c r="Q1" s="3"/>
      <c r="R1" s="3"/>
      <c r="S1" s="3"/>
      <c r="T1" s="3"/>
      <c r="U1" s="3"/>
      <c r="V1" s="3"/>
      <c r="W1" s="3"/>
      <c r="X1" s="3"/>
      <c r="Y1" s="3"/>
      <c r="Z1" s="3"/>
    </row>
    <row r="2" ht="14.25" customHeight="1">
      <c r="A2" s="7"/>
      <c r="B2" s="3"/>
      <c r="C2" s="3"/>
      <c r="D2" s="3"/>
      <c r="E2" s="8"/>
      <c r="N2" s="9"/>
      <c r="O2" s="3"/>
      <c r="P2" s="3"/>
      <c r="Q2" s="3"/>
      <c r="R2" s="3"/>
      <c r="S2" s="3"/>
      <c r="T2" s="3"/>
      <c r="U2" s="3"/>
      <c r="V2" s="3"/>
      <c r="W2" s="3"/>
      <c r="X2" s="3"/>
      <c r="Y2" s="3"/>
      <c r="Z2" s="3"/>
    </row>
    <row r="3" ht="18.0" customHeight="1">
      <c r="A3" s="7"/>
      <c r="B3" s="3"/>
      <c r="C3" s="3"/>
      <c r="D3" s="3"/>
      <c r="E3" s="3"/>
      <c r="F3" s="10" t="s">
        <v>1</v>
      </c>
      <c r="N3" s="9"/>
      <c r="O3" s="3"/>
      <c r="P3" s="3"/>
      <c r="Q3" s="3"/>
      <c r="R3" s="3"/>
      <c r="S3" s="3"/>
      <c r="T3" s="3"/>
      <c r="U3" s="3"/>
      <c r="V3" s="3"/>
      <c r="W3" s="3"/>
      <c r="X3" s="3"/>
      <c r="Y3" s="3"/>
      <c r="Z3" s="3"/>
    </row>
    <row r="4" ht="14.25" customHeight="1">
      <c r="A4" s="11"/>
      <c r="B4" s="12"/>
      <c r="C4" s="12"/>
      <c r="D4" s="12"/>
      <c r="E4" s="13"/>
      <c r="F4" s="14"/>
      <c r="G4" s="14"/>
      <c r="H4" s="14"/>
      <c r="I4" s="14"/>
      <c r="J4" s="14"/>
      <c r="K4" s="14"/>
      <c r="L4" s="14"/>
      <c r="M4" s="14"/>
      <c r="N4" s="15"/>
      <c r="O4" s="3"/>
      <c r="P4" s="3"/>
      <c r="Q4" s="3"/>
      <c r="R4" s="3"/>
      <c r="S4" s="3"/>
      <c r="T4" s="3"/>
      <c r="U4" s="3"/>
      <c r="V4" s="3"/>
      <c r="W4" s="3"/>
      <c r="X4" s="3"/>
      <c r="Y4" s="3"/>
      <c r="Z4" s="3"/>
    </row>
    <row r="5" ht="13.5" customHeight="1">
      <c r="A5" s="3"/>
      <c r="B5" s="3"/>
      <c r="C5" s="3"/>
      <c r="D5" s="3"/>
      <c r="E5" s="3"/>
      <c r="F5" s="3"/>
      <c r="G5" s="3"/>
      <c r="H5" s="3"/>
      <c r="I5" s="3"/>
      <c r="J5" s="3"/>
      <c r="K5" s="3"/>
      <c r="L5" s="3"/>
      <c r="M5" s="3"/>
      <c r="N5" s="3"/>
      <c r="O5" s="3"/>
      <c r="P5" s="3"/>
      <c r="Q5" s="3"/>
      <c r="R5" s="3"/>
      <c r="S5" s="3"/>
      <c r="T5" s="3"/>
      <c r="U5" s="3"/>
      <c r="V5" s="3"/>
      <c r="W5" s="3"/>
      <c r="X5" s="3"/>
      <c r="Y5" s="3"/>
      <c r="Z5" s="3"/>
    </row>
    <row r="6" ht="18.0" customHeight="1">
      <c r="A6" s="16" t="s">
        <v>2</v>
      </c>
      <c r="B6" s="17" t="s">
        <v>3</v>
      </c>
      <c r="C6" s="18"/>
      <c r="D6" s="18"/>
      <c r="E6" s="18"/>
      <c r="F6" s="18"/>
      <c r="G6" s="18"/>
      <c r="H6" s="18"/>
      <c r="I6" s="18"/>
      <c r="J6" s="18"/>
      <c r="K6" s="18"/>
      <c r="L6" s="18"/>
      <c r="M6" s="18"/>
      <c r="N6" s="18"/>
      <c r="O6" s="3"/>
      <c r="P6" s="3"/>
      <c r="Q6" s="3"/>
      <c r="R6" s="3"/>
      <c r="S6" s="3"/>
      <c r="T6" s="3"/>
      <c r="U6" s="3"/>
      <c r="V6" s="3"/>
      <c r="W6" s="3"/>
      <c r="X6" s="3"/>
      <c r="Y6" s="3"/>
      <c r="Z6" s="3"/>
    </row>
    <row r="7" ht="13.5" customHeight="1">
      <c r="A7" s="19"/>
      <c r="B7" s="3"/>
      <c r="C7" s="3"/>
      <c r="D7" s="3"/>
      <c r="E7" s="3"/>
      <c r="F7" s="3"/>
      <c r="G7" s="3"/>
      <c r="H7" s="3"/>
      <c r="I7" s="3"/>
      <c r="J7" s="3"/>
      <c r="K7" s="3"/>
      <c r="L7" s="3"/>
      <c r="M7" s="3"/>
      <c r="N7" s="3"/>
      <c r="O7" s="3"/>
      <c r="P7" s="3"/>
      <c r="Q7" s="3"/>
      <c r="R7" s="3"/>
      <c r="S7" s="3"/>
      <c r="T7" s="3"/>
      <c r="U7" s="3"/>
      <c r="V7" s="3"/>
      <c r="W7" s="3"/>
      <c r="X7" s="3"/>
      <c r="Y7" s="3"/>
      <c r="Z7" s="3"/>
    </row>
    <row r="8" ht="24.75" customHeight="1">
      <c r="A8" s="19"/>
      <c r="B8" s="20" t="s">
        <v>4</v>
      </c>
      <c r="C8" s="3"/>
      <c r="D8" s="3"/>
      <c r="E8" s="3"/>
      <c r="F8" s="3"/>
      <c r="G8" s="3"/>
      <c r="H8" s="3"/>
      <c r="I8" s="3"/>
      <c r="J8" s="3"/>
      <c r="K8" s="3"/>
      <c r="L8" s="3"/>
      <c r="M8" s="3"/>
      <c r="N8" s="3"/>
      <c r="O8" s="3"/>
      <c r="P8" s="3"/>
      <c r="Q8" s="3"/>
      <c r="R8" s="3"/>
      <c r="S8" s="3"/>
      <c r="T8" s="3"/>
      <c r="U8" s="3"/>
      <c r="V8" s="3"/>
      <c r="W8" s="3"/>
      <c r="X8" s="3"/>
      <c r="Y8" s="3"/>
      <c r="Z8" s="3"/>
    </row>
    <row r="9" ht="24.75" customHeight="1">
      <c r="A9" s="19"/>
      <c r="B9" s="20" t="s">
        <v>5</v>
      </c>
      <c r="C9" s="20"/>
      <c r="D9" s="20"/>
      <c r="E9" s="20"/>
      <c r="F9" s="20"/>
      <c r="G9" s="20"/>
      <c r="H9" s="20"/>
      <c r="I9" s="20"/>
      <c r="J9" s="20"/>
      <c r="K9" s="20"/>
      <c r="L9" s="20"/>
      <c r="M9" s="20"/>
      <c r="N9" s="20"/>
      <c r="O9" s="20"/>
      <c r="P9" s="20"/>
      <c r="Q9" s="20"/>
      <c r="R9" s="20"/>
      <c r="S9" s="20"/>
      <c r="T9" s="20"/>
      <c r="U9" s="20"/>
      <c r="V9" s="20"/>
      <c r="W9" s="20"/>
      <c r="X9" s="20"/>
      <c r="Y9" s="20"/>
      <c r="Z9" s="20"/>
    </row>
    <row r="10" ht="18.0" customHeight="1">
      <c r="A10" s="21" t="s">
        <v>6</v>
      </c>
      <c r="B10" s="22" t="s">
        <v>7</v>
      </c>
      <c r="C10" s="20"/>
      <c r="D10" s="20"/>
      <c r="E10" s="20"/>
      <c r="F10" s="20"/>
      <c r="G10" s="20"/>
      <c r="H10" s="20"/>
      <c r="I10" s="20"/>
      <c r="J10" s="20"/>
      <c r="K10" s="20"/>
      <c r="L10" s="20"/>
      <c r="M10" s="20"/>
      <c r="N10" s="20"/>
      <c r="O10" s="20"/>
      <c r="P10" s="20"/>
      <c r="Q10" s="20"/>
      <c r="R10" s="20"/>
      <c r="S10" s="20"/>
      <c r="T10" s="20"/>
      <c r="U10" s="20"/>
      <c r="V10" s="20"/>
      <c r="W10" s="20"/>
      <c r="X10" s="20"/>
      <c r="Y10" s="20"/>
      <c r="Z10" s="20"/>
    </row>
    <row r="11" ht="18.0" customHeight="1">
      <c r="A11" s="21" t="s">
        <v>6</v>
      </c>
      <c r="B11" s="22" t="s">
        <v>8</v>
      </c>
      <c r="C11" s="20"/>
      <c r="D11" s="20"/>
      <c r="E11" s="20"/>
      <c r="F11" s="20"/>
      <c r="G11" s="20"/>
      <c r="H11" s="20"/>
      <c r="I11" s="20"/>
      <c r="J11" s="20"/>
      <c r="K11" s="20"/>
      <c r="L11" s="20"/>
      <c r="M11" s="20"/>
      <c r="N11" s="20"/>
      <c r="O11" s="20"/>
      <c r="P11" s="20"/>
      <c r="Q11" s="20"/>
      <c r="R11" s="20"/>
      <c r="S11" s="20"/>
      <c r="T11" s="20"/>
      <c r="U11" s="20"/>
      <c r="V11" s="20"/>
      <c r="W11" s="20"/>
      <c r="X11" s="20"/>
      <c r="Y11" s="20"/>
      <c r="Z11" s="20"/>
    </row>
    <row r="12" ht="18.0" customHeight="1">
      <c r="A12" s="21" t="s">
        <v>6</v>
      </c>
      <c r="B12" s="22" t="s">
        <v>9</v>
      </c>
      <c r="C12" s="20"/>
      <c r="D12" s="20"/>
      <c r="E12" s="20"/>
      <c r="F12" s="20"/>
      <c r="G12" s="20"/>
      <c r="H12" s="20"/>
      <c r="I12" s="20"/>
      <c r="J12" s="20"/>
      <c r="K12" s="20"/>
      <c r="L12" s="20"/>
      <c r="M12" s="20"/>
      <c r="N12" s="20"/>
      <c r="O12" s="20"/>
      <c r="P12" s="20"/>
      <c r="Q12" s="20"/>
      <c r="R12" s="20"/>
      <c r="S12" s="20"/>
      <c r="T12" s="20"/>
      <c r="U12" s="20"/>
      <c r="V12" s="20"/>
      <c r="W12" s="20"/>
      <c r="X12" s="20"/>
      <c r="Y12" s="20"/>
      <c r="Z12" s="20"/>
    </row>
    <row r="13" ht="18.0" customHeight="1">
      <c r="A13" s="21" t="s">
        <v>6</v>
      </c>
      <c r="B13" s="22" t="s">
        <v>10</v>
      </c>
      <c r="C13" s="20"/>
      <c r="D13" s="20"/>
      <c r="E13" s="20"/>
      <c r="F13" s="20"/>
      <c r="G13" s="20"/>
      <c r="H13" s="20"/>
      <c r="I13" s="20"/>
      <c r="J13" s="20"/>
      <c r="K13" s="20"/>
      <c r="L13" s="20"/>
      <c r="M13" s="20"/>
      <c r="N13" s="20"/>
      <c r="O13" s="20"/>
      <c r="P13" s="20"/>
      <c r="Q13" s="20"/>
      <c r="R13" s="20"/>
      <c r="S13" s="20"/>
      <c r="T13" s="20"/>
      <c r="U13" s="20"/>
      <c r="V13" s="20"/>
      <c r="W13" s="20"/>
      <c r="X13" s="20"/>
      <c r="Y13" s="20"/>
      <c r="Z13" s="20"/>
    </row>
    <row r="14" ht="18.0" customHeight="1">
      <c r="A14" s="21" t="s">
        <v>6</v>
      </c>
      <c r="B14" s="22" t="s">
        <v>11</v>
      </c>
      <c r="C14" s="20"/>
      <c r="D14" s="20"/>
      <c r="E14" s="20"/>
      <c r="F14" s="20"/>
      <c r="G14" s="20"/>
      <c r="H14" s="20"/>
      <c r="I14" s="20"/>
      <c r="J14" s="20"/>
      <c r="K14" s="20"/>
      <c r="L14" s="20"/>
      <c r="M14" s="20"/>
      <c r="N14" s="20"/>
      <c r="O14" s="20"/>
      <c r="P14" s="20"/>
      <c r="Q14" s="20"/>
      <c r="R14" s="20"/>
      <c r="S14" s="20"/>
      <c r="T14" s="20"/>
      <c r="U14" s="20"/>
      <c r="V14" s="20"/>
      <c r="W14" s="20"/>
      <c r="X14" s="20"/>
      <c r="Y14" s="20"/>
      <c r="Z14" s="20"/>
    </row>
    <row r="15" ht="18.0" customHeight="1">
      <c r="A15" s="21" t="s">
        <v>6</v>
      </c>
      <c r="B15" s="22" t="s">
        <v>12</v>
      </c>
      <c r="C15" s="20"/>
      <c r="D15" s="20"/>
      <c r="E15" s="20"/>
      <c r="F15" s="20"/>
      <c r="G15" s="20"/>
      <c r="H15" s="20"/>
      <c r="I15" s="20"/>
      <c r="J15" s="20"/>
      <c r="K15" s="20"/>
      <c r="L15" s="20"/>
      <c r="M15" s="20"/>
      <c r="N15" s="20"/>
      <c r="O15" s="20"/>
      <c r="P15" s="20"/>
      <c r="Q15" s="20"/>
      <c r="R15" s="20"/>
      <c r="S15" s="20"/>
      <c r="T15" s="20"/>
      <c r="U15" s="20"/>
      <c r="V15" s="20"/>
      <c r="W15" s="20"/>
      <c r="X15" s="20"/>
      <c r="Y15" s="20"/>
      <c r="Z15" s="20"/>
    </row>
    <row r="16" ht="12.0" customHeight="1">
      <c r="A16" s="19"/>
      <c r="B16" s="3"/>
      <c r="C16" s="3"/>
      <c r="D16" s="3"/>
      <c r="E16" s="3"/>
      <c r="F16" s="3"/>
      <c r="G16" s="3"/>
      <c r="H16" s="3"/>
      <c r="I16" s="3"/>
      <c r="J16" s="3"/>
      <c r="K16" s="3"/>
      <c r="L16" s="3"/>
      <c r="M16" s="3"/>
      <c r="N16" s="3"/>
      <c r="O16" s="3"/>
      <c r="P16" s="3"/>
      <c r="Q16" s="3"/>
      <c r="R16" s="3"/>
      <c r="S16" s="3"/>
      <c r="T16" s="3"/>
      <c r="U16" s="3"/>
      <c r="V16" s="3"/>
      <c r="W16" s="3"/>
      <c r="X16" s="3"/>
      <c r="Y16" s="3"/>
      <c r="Z16" s="3"/>
    </row>
    <row r="17" ht="18.0" customHeight="1">
      <c r="A17" s="16" t="s">
        <v>13</v>
      </c>
      <c r="B17" s="17" t="s">
        <v>14</v>
      </c>
      <c r="C17" s="18"/>
      <c r="D17" s="18"/>
      <c r="E17" s="18"/>
      <c r="F17" s="18"/>
      <c r="G17" s="18"/>
      <c r="H17" s="18"/>
      <c r="I17" s="18"/>
      <c r="J17" s="18"/>
      <c r="K17" s="18"/>
      <c r="L17" s="18"/>
      <c r="M17" s="18"/>
      <c r="N17" s="18"/>
      <c r="O17" s="3"/>
      <c r="P17" s="3"/>
      <c r="Q17" s="3"/>
      <c r="R17" s="3"/>
      <c r="S17" s="3"/>
      <c r="T17" s="3"/>
      <c r="U17" s="3"/>
      <c r="V17" s="3"/>
      <c r="W17" s="3"/>
      <c r="X17" s="3"/>
      <c r="Y17" s="3"/>
      <c r="Z17" s="3"/>
    </row>
    <row r="18" ht="18.0" customHeight="1">
      <c r="A18" s="19"/>
      <c r="B18" s="3"/>
      <c r="C18" s="3"/>
      <c r="D18" s="3"/>
      <c r="E18" s="3"/>
      <c r="F18" s="3"/>
      <c r="G18" s="3"/>
      <c r="H18" s="3"/>
      <c r="I18" s="3"/>
      <c r="J18" s="3"/>
      <c r="K18" s="3"/>
      <c r="L18" s="3"/>
      <c r="M18" s="3"/>
      <c r="N18" s="3"/>
      <c r="O18" s="3"/>
      <c r="P18" s="3"/>
      <c r="Q18" s="3"/>
      <c r="R18" s="3"/>
      <c r="S18" s="3"/>
      <c r="T18" s="3"/>
      <c r="U18" s="3"/>
      <c r="V18" s="3"/>
      <c r="W18" s="3"/>
      <c r="X18" s="3"/>
      <c r="Y18" s="3"/>
      <c r="Z18" s="3"/>
    </row>
    <row r="19" ht="39.0" customHeight="1">
      <c r="A19" s="23" t="s">
        <v>6</v>
      </c>
      <c r="B19" s="24" t="s">
        <v>15</v>
      </c>
      <c r="O19" s="3"/>
      <c r="P19" s="3"/>
      <c r="Q19" s="3"/>
      <c r="R19" s="3"/>
      <c r="S19" s="3"/>
      <c r="T19" s="3"/>
      <c r="U19" s="3"/>
      <c r="V19" s="3"/>
      <c r="W19" s="3"/>
      <c r="X19" s="3"/>
      <c r="Y19" s="3"/>
      <c r="Z19" s="3"/>
    </row>
    <row r="20" ht="51.0" customHeight="1">
      <c r="A20" s="23" t="s">
        <v>6</v>
      </c>
      <c r="B20" s="24" t="s">
        <v>16</v>
      </c>
      <c r="O20" s="3"/>
      <c r="P20" s="3"/>
      <c r="Q20" s="3"/>
      <c r="R20" s="3"/>
      <c r="S20" s="3"/>
      <c r="T20" s="3"/>
      <c r="U20" s="3"/>
      <c r="V20" s="3"/>
      <c r="W20" s="3"/>
      <c r="X20" s="3"/>
      <c r="Y20" s="3"/>
      <c r="Z20" s="3"/>
    </row>
    <row r="21" ht="41.25" customHeight="1">
      <c r="A21" s="23" t="s">
        <v>6</v>
      </c>
      <c r="B21" s="24" t="s">
        <v>17</v>
      </c>
      <c r="O21" s="3"/>
      <c r="P21" s="3"/>
      <c r="Q21" s="3"/>
      <c r="R21" s="3"/>
      <c r="S21" s="3"/>
      <c r="T21" s="3"/>
      <c r="U21" s="3"/>
      <c r="V21" s="3"/>
      <c r="W21" s="3"/>
      <c r="X21" s="3"/>
      <c r="Y21" s="3"/>
      <c r="Z21" s="3"/>
    </row>
    <row r="22" ht="51.0" customHeight="1">
      <c r="A22" s="23" t="s">
        <v>6</v>
      </c>
      <c r="B22" s="24" t="s">
        <v>18</v>
      </c>
      <c r="O22" s="3"/>
      <c r="P22" s="3"/>
      <c r="Q22" s="3"/>
      <c r="R22" s="3"/>
      <c r="S22" s="3"/>
      <c r="T22" s="3"/>
      <c r="U22" s="3"/>
      <c r="V22" s="3"/>
      <c r="W22" s="3"/>
      <c r="X22" s="3"/>
      <c r="Y22" s="3"/>
      <c r="Z22" s="3"/>
    </row>
    <row r="23" ht="13.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6">
    <mergeCell ref="F1:N2"/>
    <mergeCell ref="F3:N4"/>
    <mergeCell ref="B19:N19"/>
    <mergeCell ref="B20:N20"/>
    <mergeCell ref="B21:N21"/>
    <mergeCell ref="B22:N22"/>
  </mergeCell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4.43" defaultRowHeight="15.0"/>
  <cols>
    <col customWidth="1" min="1" max="1" width="5.29"/>
    <col customWidth="1" min="2" max="2" width="34.57"/>
    <col customWidth="1" min="3" max="3" width="84.29"/>
    <col customWidth="1" min="4" max="4" width="18.71"/>
    <col customWidth="1" min="5" max="5" width="18.14"/>
    <col customWidth="1" min="6" max="6" width="18.29"/>
    <col customWidth="1" min="7" max="26" width="11.43"/>
  </cols>
  <sheetData>
    <row r="1" ht="408.0"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35.25" customHeight="1">
      <c r="A2" s="25"/>
      <c r="B2" s="26" t="s">
        <v>0</v>
      </c>
      <c r="C2" s="27"/>
      <c r="D2" s="27"/>
      <c r="E2" s="27"/>
      <c r="F2" s="28"/>
      <c r="G2" s="25"/>
      <c r="H2" s="25"/>
      <c r="I2" s="25"/>
      <c r="J2" s="25"/>
      <c r="K2" s="25"/>
      <c r="L2" s="25"/>
      <c r="M2" s="25"/>
      <c r="N2" s="25"/>
      <c r="O2" s="25"/>
      <c r="P2" s="25"/>
      <c r="Q2" s="25"/>
      <c r="R2" s="25"/>
      <c r="S2" s="25"/>
      <c r="T2" s="25"/>
      <c r="U2" s="25"/>
      <c r="V2" s="25"/>
      <c r="W2" s="25"/>
      <c r="X2" s="25"/>
      <c r="Y2" s="25"/>
      <c r="Z2" s="25"/>
    </row>
    <row r="3" ht="21.75" customHeight="1">
      <c r="A3" s="25"/>
      <c r="B3" s="29" t="s">
        <v>19</v>
      </c>
      <c r="C3" s="29" t="s">
        <v>20</v>
      </c>
      <c r="D3" s="29" t="s">
        <v>21</v>
      </c>
      <c r="E3" s="29" t="s">
        <v>22</v>
      </c>
      <c r="F3" s="29" t="s">
        <v>23</v>
      </c>
      <c r="G3" s="25"/>
      <c r="H3" s="25"/>
      <c r="I3" s="25"/>
      <c r="J3" s="25"/>
      <c r="K3" s="25"/>
      <c r="L3" s="25"/>
      <c r="M3" s="25"/>
      <c r="N3" s="25"/>
      <c r="O3" s="25"/>
      <c r="P3" s="25"/>
      <c r="Q3" s="25"/>
      <c r="R3" s="25"/>
      <c r="S3" s="25"/>
      <c r="T3" s="25"/>
      <c r="U3" s="25"/>
      <c r="V3" s="25"/>
      <c r="W3" s="25"/>
      <c r="X3" s="25"/>
      <c r="Y3" s="25"/>
      <c r="Z3" s="25"/>
    </row>
    <row r="4" ht="26.25" customHeight="1">
      <c r="A4" s="25"/>
      <c r="B4" s="30" t="s">
        <v>24</v>
      </c>
      <c r="C4" s="31" t="s">
        <v>25</v>
      </c>
      <c r="D4" s="32">
        <v>2.0</v>
      </c>
      <c r="E4" s="32">
        <v>3.0</v>
      </c>
      <c r="F4" s="32">
        <f t="shared" ref="F4:F9" si="1">D4*E4</f>
        <v>6</v>
      </c>
      <c r="G4" s="25"/>
      <c r="H4" s="25"/>
      <c r="I4" s="25"/>
      <c r="J4" s="25"/>
      <c r="K4" s="25"/>
      <c r="L4" s="25"/>
      <c r="M4" s="25"/>
      <c r="N4" s="25"/>
      <c r="O4" s="25"/>
      <c r="P4" s="25"/>
      <c r="Q4" s="25"/>
      <c r="R4" s="25"/>
      <c r="S4" s="25"/>
      <c r="T4" s="25"/>
      <c r="U4" s="25"/>
      <c r="V4" s="25"/>
      <c r="W4" s="25"/>
      <c r="X4" s="25"/>
      <c r="Y4" s="25"/>
      <c r="Z4" s="25"/>
    </row>
    <row r="5" ht="26.25" customHeight="1">
      <c r="A5" s="25"/>
      <c r="B5" s="30" t="s">
        <v>24</v>
      </c>
      <c r="C5" s="31" t="s">
        <v>26</v>
      </c>
      <c r="D5" s="32">
        <v>1.0</v>
      </c>
      <c r="E5" s="32">
        <v>3.0</v>
      </c>
      <c r="F5" s="32">
        <f t="shared" si="1"/>
        <v>3</v>
      </c>
      <c r="G5" s="25"/>
      <c r="H5" s="25"/>
      <c r="I5" s="25"/>
      <c r="J5" s="25"/>
      <c r="K5" s="25"/>
      <c r="L5" s="25"/>
      <c r="M5" s="25"/>
      <c r="N5" s="25"/>
      <c r="O5" s="25"/>
      <c r="P5" s="25"/>
      <c r="Q5" s="25"/>
      <c r="R5" s="25"/>
      <c r="S5" s="25"/>
      <c r="T5" s="25"/>
      <c r="U5" s="25"/>
      <c r="V5" s="25"/>
      <c r="W5" s="25"/>
      <c r="X5" s="25"/>
      <c r="Y5" s="25"/>
      <c r="Z5" s="25"/>
    </row>
    <row r="6" ht="26.25" customHeight="1">
      <c r="A6" s="25"/>
      <c r="B6" s="30" t="s">
        <v>27</v>
      </c>
      <c r="C6" s="31" t="s">
        <v>28</v>
      </c>
      <c r="D6" s="32">
        <v>1.0</v>
      </c>
      <c r="E6" s="32">
        <v>2.0</v>
      </c>
      <c r="F6" s="32">
        <f t="shared" si="1"/>
        <v>2</v>
      </c>
      <c r="G6" s="25"/>
      <c r="H6" s="25"/>
      <c r="I6" s="25"/>
      <c r="J6" s="25"/>
      <c r="K6" s="25"/>
      <c r="L6" s="25"/>
      <c r="M6" s="25"/>
      <c r="N6" s="25"/>
      <c r="O6" s="25"/>
      <c r="P6" s="25"/>
      <c r="Q6" s="25"/>
      <c r="R6" s="25"/>
      <c r="S6" s="25"/>
      <c r="T6" s="25"/>
      <c r="U6" s="25"/>
      <c r="V6" s="25"/>
      <c r="W6" s="25"/>
      <c r="X6" s="25"/>
      <c r="Y6" s="25"/>
      <c r="Z6" s="25"/>
    </row>
    <row r="7" ht="26.25" customHeight="1">
      <c r="A7" s="25"/>
      <c r="B7" s="30" t="s">
        <v>27</v>
      </c>
      <c r="C7" s="31" t="s">
        <v>29</v>
      </c>
      <c r="D7" s="32">
        <v>2.0</v>
      </c>
      <c r="E7" s="32">
        <v>1.0</v>
      </c>
      <c r="F7" s="32">
        <f t="shared" si="1"/>
        <v>2</v>
      </c>
      <c r="G7" s="25"/>
      <c r="H7" s="25"/>
      <c r="I7" s="25"/>
      <c r="J7" s="25"/>
      <c r="K7" s="25"/>
      <c r="L7" s="25"/>
      <c r="M7" s="25"/>
      <c r="N7" s="25"/>
      <c r="O7" s="25"/>
      <c r="P7" s="25"/>
      <c r="Q7" s="25"/>
      <c r="R7" s="25"/>
      <c r="S7" s="25"/>
      <c r="T7" s="25"/>
      <c r="U7" s="25"/>
      <c r="V7" s="25"/>
      <c r="W7" s="25"/>
      <c r="X7" s="25"/>
      <c r="Y7" s="25"/>
      <c r="Z7" s="25"/>
    </row>
    <row r="8" ht="26.25" customHeight="1">
      <c r="A8" s="25"/>
      <c r="B8" s="30" t="s">
        <v>30</v>
      </c>
      <c r="C8" s="31" t="s">
        <v>29</v>
      </c>
      <c r="D8" s="32">
        <v>3.0</v>
      </c>
      <c r="E8" s="32">
        <v>2.0</v>
      </c>
      <c r="F8" s="32">
        <f t="shared" si="1"/>
        <v>6</v>
      </c>
      <c r="G8" s="25"/>
      <c r="H8" s="25"/>
      <c r="I8" s="25"/>
      <c r="J8" s="25"/>
      <c r="K8" s="25"/>
      <c r="L8" s="25"/>
      <c r="M8" s="25"/>
      <c r="N8" s="25"/>
      <c r="O8" s="25"/>
      <c r="P8" s="25"/>
      <c r="Q8" s="25"/>
      <c r="R8" s="25"/>
      <c r="S8" s="25"/>
      <c r="T8" s="25"/>
      <c r="U8" s="25"/>
      <c r="V8" s="25"/>
      <c r="W8" s="25"/>
      <c r="X8" s="25"/>
      <c r="Y8" s="25"/>
      <c r="Z8" s="25"/>
    </row>
    <row r="9" ht="26.25" customHeight="1">
      <c r="A9" s="25"/>
      <c r="B9" s="30" t="s">
        <v>30</v>
      </c>
      <c r="C9" s="31" t="s">
        <v>31</v>
      </c>
      <c r="D9" s="32">
        <v>1.0</v>
      </c>
      <c r="E9" s="32">
        <v>2.0</v>
      </c>
      <c r="F9" s="32">
        <f t="shared" si="1"/>
        <v>2</v>
      </c>
      <c r="G9" s="25"/>
      <c r="H9" s="25"/>
      <c r="I9" s="25"/>
      <c r="J9" s="25"/>
      <c r="K9" s="25"/>
      <c r="L9" s="25"/>
      <c r="M9" s="25"/>
      <c r="N9" s="25"/>
      <c r="O9" s="25"/>
      <c r="P9" s="25"/>
      <c r="Q9" s="25"/>
      <c r="R9" s="25"/>
      <c r="S9" s="25"/>
      <c r="T9" s="25"/>
      <c r="U9" s="25"/>
      <c r="V9" s="25"/>
      <c r="W9" s="25"/>
      <c r="X9" s="25"/>
      <c r="Y9" s="25"/>
      <c r="Z9" s="25"/>
    </row>
    <row r="10" ht="26.25" customHeight="1">
      <c r="A10" s="25"/>
      <c r="B10" s="30" t="s">
        <v>32</v>
      </c>
      <c r="C10" s="31"/>
      <c r="D10" s="30"/>
      <c r="E10" s="30"/>
      <c r="F10" s="32"/>
      <c r="G10" s="25"/>
      <c r="H10" s="25"/>
      <c r="I10" s="25"/>
      <c r="J10" s="25"/>
      <c r="K10" s="25"/>
      <c r="L10" s="25"/>
      <c r="M10" s="25"/>
      <c r="N10" s="25"/>
      <c r="O10" s="25"/>
      <c r="P10" s="25"/>
      <c r="Q10" s="25"/>
      <c r="R10" s="25"/>
      <c r="S10" s="25"/>
      <c r="T10" s="25"/>
      <c r="U10" s="25"/>
      <c r="V10" s="25"/>
      <c r="W10" s="25"/>
      <c r="X10" s="25"/>
      <c r="Y10" s="25"/>
      <c r="Z10" s="25"/>
    </row>
    <row r="11" ht="26.25" customHeight="1">
      <c r="A11" s="25"/>
      <c r="B11" s="30"/>
      <c r="C11" s="30"/>
      <c r="D11" s="30"/>
      <c r="E11" s="30"/>
      <c r="F11" s="32"/>
      <c r="G11" s="25"/>
      <c r="H11" s="25"/>
      <c r="I11" s="25"/>
      <c r="J11" s="25"/>
      <c r="K11" s="25"/>
      <c r="L11" s="25"/>
      <c r="M11" s="25"/>
      <c r="N11" s="25"/>
      <c r="O11" s="25"/>
      <c r="P11" s="25"/>
      <c r="Q11" s="25"/>
      <c r="R11" s="25"/>
      <c r="S11" s="25"/>
      <c r="T11" s="25"/>
      <c r="U11" s="25"/>
      <c r="V11" s="25"/>
      <c r="W11" s="25"/>
      <c r="X11" s="25"/>
      <c r="Y11" s="25"/>
      <c r="Z11" s="25"/>
    </row>
    <row r="12" ht="26.25" customHeight="1">
      <c r="A12" s="25"/>
      <c r="B12" s="30"/>
      <c r="C12" s="33" t="s">
        <v>33</v>
      </c>
      <c r="D12" s="30"/>
      <c r="E12" s="30"/>
      <c r="F12" s="32"/>
      <c r="G12" s="25"/>
      <c r="H12" s="25"/>
      <c r="I12" s="25"/>
      <c r="J12" s="25"/>
      <c r="K12" s="25"/>
      <c r="L12" s="25"/>
      <c r="M12" s="25"/>
      <c r="N12" s="25"/>
      <c r="O12" s="25"/>
      <c r="P12" s="25"/>
      <c r="Q12" s="25"/>
      <c r="R12" s="25"/>
      <c r="S12" s="25"/>
      <c r="T12" s="25"/>
      <c r="U12" s="25"/>
      <c r="V12" s="25"/>
      <c r="W12" s="25"/>
      <c r="X12" s="25"/>
      <c r="Y12" s="25"/>
      <c r="Z12" s="25"/>
    </row>
    <row r="13" ht="21.75" customHeight="1">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ht="21.75" customHeight="1">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row>
    <row r="15" ht="21.75" customHeight="1">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row>
    <row r="16" ht="21.75" customHeight="1">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row>
    <row r="17" ht="21.75" customHeight="1">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row>
    <row r="18" ht="21.75" customHeight="1">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row>
    <row r="19" ht="21.75" customHeight="1">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21.7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21.7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21.7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21.7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21.7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21.7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21.7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21.7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21.7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21.7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21.7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21.7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21.7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21.7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21.7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21.7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21.7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21.7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21.7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21.7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21.7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21.7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21.7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21.7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21.7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21.7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21.7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21.7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21.7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21.7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21.7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21.7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21.7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21.7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21.7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21.7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21.7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21.7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21.7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21.7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21.7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21.7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21.7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21.7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21.7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21.7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21.7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21.7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21.7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21.7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21.7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21.7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21.7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21.7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21.7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21.7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21.7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21.7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21.7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21.7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21.7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21.7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21.7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21.7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21.7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21.7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21.7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21.7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21.7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21.7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21.7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21.7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21.7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21.7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21.7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21.7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21.7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21.7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21.7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21.7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21.7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21.7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21.7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21.7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21.7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21.7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21.7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21.7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21.7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21.7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21.7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21.7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21.7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21.7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21.7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21.7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21.7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21.7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21.7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21.7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21.7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21.7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21.7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21.7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21.7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21.7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21.7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21.7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21.7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21.7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21.7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21.7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21.7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21.7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21.7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21.7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21.7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21.7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21.7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21.7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21.7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21.7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21.7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21.7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21.7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21.7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21.7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21.7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21.7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21.7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21.7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21.7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21.7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21.7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21.7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21.7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21.7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21.7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21.7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21.7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21.7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21.7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21.7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21.7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21.7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21.7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21.7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21.7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21.7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21.7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21.7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21.7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21.7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21.7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21.7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21.7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21.7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21.7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21.7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21.7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21.7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21.7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21.7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21.7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21.7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21.7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21.7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21.7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21.7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21.7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21.7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21.7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21.7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21.7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21.7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21.7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21.7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21.7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21.7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21.7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21.7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21.7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21.7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21.7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21.7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21.7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21.7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21.7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21.7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21.7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21.7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21.7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21.7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21.7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21.7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21.7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21.7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21.7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21.7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21.7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21.7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21.7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21.7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21.7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21.7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21.7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21.7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21.7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21.7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21.7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21.7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21.7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21.7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21.7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21.7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21.7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21.7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21.7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21.7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21.7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21.7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21.7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21.7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21.7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21.7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21.7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21.7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21.7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21.7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21.7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21.7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21.7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21.7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21.7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21.7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21.7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21.7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21.7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21.7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21.7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21.7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21.7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21.7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21.7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21.7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21.7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21.7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21.7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21.7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21.7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21.7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21.7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21.7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21.7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21.7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21.7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21.7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21.7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21.7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21.7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21.7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21.7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21.7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21.7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21.7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21.7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21.7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21.7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21.7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21.7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21.7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21.7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21.7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21.7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21.7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21.7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21.7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21.7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21.7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21.7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21.7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21.7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21.7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21.7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21.7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21.7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21.7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21.7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21.7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21.7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21.7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21.7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21.7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21.7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21.7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21.7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21.7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21.7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21.7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21.7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21.7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21.7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21.7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21.7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21.7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21.7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21.7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21.7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21.7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21.7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21.7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21.7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21.7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21.7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21.7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21.7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21.7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21.7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21.7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21.7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21.7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21.7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21.7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21.7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21.7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21.7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21.7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21.7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21.7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21.7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21.7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21.7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21.7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21.7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21.7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21.7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21.7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21.7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21.7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21.7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21.7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21.7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21.7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21.7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21.7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21.7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21.7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21.7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21.7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21.7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21.7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21.7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21.7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21.7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21.7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21.7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21.7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21.7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21.7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21.7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21.7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21.7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21.7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21.7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21.7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21.7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21.7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21.7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21.7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21.7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21.7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21.7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21.7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21.7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21.7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21.7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21.7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21.7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21.7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21.7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21.7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21.7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21.7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21.7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21.7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21.7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21.7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21.7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21.7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21.7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21.7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21.7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21.7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21.7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21.7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21.7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21.7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21.7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21.7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21.7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21.7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21.7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21.7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21.7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21.7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21.7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21.7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21.7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21.7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21.7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21.7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21.7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21.7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21.7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21.7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21.7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21.7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21.7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21.7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21.7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21.7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21.7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21.7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21.7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21.7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21.7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21.7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21.7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21.7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21.7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21.7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21.7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21.7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21.7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21.7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21.7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21.7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21.7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21.7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21.7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21.7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21.7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21.7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21.7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21.7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21.7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21.7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21.7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21.7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21.7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21.7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21.7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21.7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21.7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21.7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21.7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21.7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21.7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21.7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21.7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21.7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21.7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21.7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21.7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21.7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21.7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21.7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21.7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21.7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21.7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21.7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21.7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21.7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21.7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21.7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21.7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21.7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21.7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21.7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21.7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21.7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21.7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21.7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21.7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21.7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21.7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21.7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21.7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21.7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21.7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21.7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21.7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21.7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21.7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21.7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21.7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21.7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21.7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21.7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21.7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21.7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21.7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21.7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21.7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21.7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21.7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21.7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21.7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21.7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21.7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21.7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21.7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21.7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21.7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21.7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21.7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21.7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21.7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21.7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21.7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21.7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21.7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21.7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21.7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21.7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21.7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21.7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21.7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21.7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21.7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21.7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21.7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21.7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21.7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21.7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21.7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21.7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21.7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21.7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21.7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21.7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21.7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21.7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21.7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21.7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21.7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21.7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21.7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21.7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21.7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21.7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21.7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21.7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21.7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21.7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21.7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21.7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21.7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21.7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21.7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21.7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21.7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21.7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21.7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21.7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21.7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21.7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21.7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21.7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21.7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21.7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21.7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21.7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21.7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21.7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21.7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21.7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21.7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21.7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21.7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21.7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21.7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21.7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21.7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21.7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21.7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21.7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21.7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21.7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21.7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21.7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21.7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21.7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21.7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21.7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21.7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21.7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21.7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21.7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21.7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21.7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21.7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21.7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21.7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21.7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21.7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21.7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21.7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21.7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21.7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21.7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21.7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21.7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21.7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21.7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21.7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21.7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21.7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21.7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21.7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21.7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21.7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21.7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21.7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21.7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21.7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21.7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21.7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21.7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21.7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21.7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21.7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21.7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21.7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21.7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21.7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21.7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21.7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21.7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21.7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21.7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21.7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21.7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21.7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21.7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21.7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21.7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21.7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21.7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21.7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21.7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21.7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21.7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21.7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21.7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21.7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21.7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21.7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21.7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21.7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21.7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21.7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21.7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21.7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21.7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21.7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21.7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21.7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21.7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21.7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21.7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21.7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21.7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21.7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21.7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21.7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21.7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21.7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21.7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21.7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21.7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21.7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21.7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21.7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21.7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21.7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21.7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21.7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21.7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21.7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21.7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21.7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21.7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21.7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21.7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21.7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21.7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21.7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21.7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21.7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21.7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21.7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21.7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21.7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21.7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21.7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21.7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21.7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21.7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21.7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21.7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21.7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21.7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21.7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21.7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21.7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21.7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21.7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21.7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21.7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21.7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21.7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21.7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21.7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21.7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21.7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21.7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21.7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21.7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21.7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21.7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21.7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21.7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21.7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21.7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21.7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21.7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21.7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21.7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21.7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21.7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21.7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21.7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21.7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21.7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21.7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21.7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21.7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21.7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21.7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21.7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21.7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21.7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21.7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21.7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21.7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21.7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21.7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21.7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21.7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21.7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21.7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21.7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21.7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21.7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21.7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21.7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21.7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21.7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21.7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21.7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21.7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21.7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21.7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21.7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21.7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21.7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21.7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21.7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21.7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21.7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21.7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21.7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21.7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21.7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21.7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21.7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21.7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21.7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21.7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21.7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21.7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21.7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21.7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21.7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21.7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21.7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21.7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21.7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21.7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21.7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21.7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21.7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21.7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21.7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21.7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21.7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21.7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21.7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21.7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21.7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21.7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21.7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21.7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21.7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21.7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21.7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21.7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21.7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21.7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21.7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21.7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21.7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21.7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21.7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21.7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21.7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21.7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21.7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21.7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21.7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21.7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21.7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21.7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21.7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21.7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21.7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21.7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21.7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21.7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21.7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21.7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21.7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21.7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21.7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21.7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21.7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21.7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21.7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21.7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21.7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21.7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21.7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21.7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21.7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21.7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21.7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21.7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21.7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21.7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21.7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21.7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21.7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21.7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21.7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21.7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21.7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21.7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21.7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21.7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21.7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21.7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21.7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21.7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21.7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21.7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21.7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21.7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21.7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21.7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21.7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21.7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21.7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21.7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21.7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21.7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21.7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21.7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21.7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21.7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21.7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21.7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21.7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21.7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21.7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21.7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21.7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21.7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21.7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21.7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21.7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21.7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21.7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21.7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21.7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21.7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21.7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21.7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21.7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21.7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21.7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21.7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21.7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21.7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21.7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21.7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21.7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21.7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21.7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21.7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21.7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21.7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21.7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21.7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21.7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21.7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21.7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21.7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21.7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21.7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21.7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21.7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21.7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21.7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21.7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21.7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21.7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21.7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21.7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21.7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21.7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21.7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21.7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21.7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21.7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21.7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21.7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21.7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21.7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21.7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21.7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21.7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21.7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21.7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21.7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21.7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21.7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21.7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21.7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21.7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21.7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21.7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21.7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21.7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21.7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21.7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21.7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21.7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21.7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21.7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21.7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21.7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21.7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21.7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21.7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21.7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21.7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21.7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21.7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21.7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21.7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1">
    <mergeCell ref="B2:F2"/>
  </mergeCells>
  <conditionalFormatting sqref="F4:F12">
    <cfRule type="colorScale" priority="1">
      <colorScale>
        <cfvo type="min"/>
        <cfvo type="percentile" val="50"/>
        <cfvo type="max"/>
        <color rgb="FFF8696B"/>
        <color rgb="FFFFEB84"/>
        <color rgb="FF63BE7B"/>
      </colorScale>
    </cfRule>
  </conditionalFormatting>
  <conditionalFormatting sqref="F4:F9">
    <cfRule type="colorScale" priority="2">
      <colorScale>
        <cfvo type="min"/>
        <cfvo type="percentile" val="50"/>
        <cfvo type="max"/>
        <color rgb="FF63BE7B"/>
        <color rgb="FFFFEB84"/>
        <color rgb="FFF8696B"/>
      </colorScale>
    </cfRule>
  </conditionalFormatting>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4.43" defaultRowHeight="15.0"/>
  <cols>
    <col customWidth="1" min="1" max="1" width="7.43"/>
    <col customWidth="1" min="2" max="2" width="16.14"/>
    <col customWidth="1" min="3" max="3" width="149.86"/>
    <col customWidth="1" min="4" max="5" width="11.43"/>
    <col customWidth="1" min="6" max="6" width="16.71"/>
    <col customWidth="1" min="7" max="26" width="11.43"/>
  </cols>
  <sheetData>
    <row r="1" ht="174.75"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27.0" customHeight="1">
      <c r="A2" s="25"/>
      <c r="B2" s="34" t="s">
        <v>34</v>
      </c>
      <c r="C2" s="28"/>
      <c r="D2" s="25"/>
      <c r="E2" s="25"/>
      <c r="F2" s="25"/>
      <c r="G2" s="25"/>
      <c r="H2" s="25"/>
      <c r="I2" s="25"/>
      <c r="J2" s="25"/>
      <c r="K2" s="25"/>
      <c r="L2" s="25"/>
      <c r="M2" s="25"/>
      <c r="N2" s="25"/>
      <c r="O2" s="25"/>
      <c r="P2" s="25"/>
      <c r="Q2" s="25"/>
      <c r="R2" s="25"/>
      <c r="S2" s="25"/>
      <c r="T2" s="25"/>
      <c r="U2" s="25"/>
      <c r="V2" s="25"/>
      <c r="W2" s="25"/>
      <c r="X2" s="25"/>
      <c r="Y2" s="25"/>
      <c r="Z2" s="25"/>
    </row>
    <row r="3" ht="27.0" customHeight="1">
      <c r="A3" s="25"/>
      <c r="B3" s="29" t="s">
        <v>35</v>
      </c>
      <c r="C3" s="29" t="s">
        <v>36</v>
      </c>
      <c r="D3" s="25"/>
      <c r="E3" s="25"/>
      <c r="F3" s="25"/>
      <c r="G3" s="25"/>
      <c r="H3" s="25"/>
      <c r="I3" s="25"/>
      <c r="J3" s="25"/>
      <c r="K3" s="25"/>
      <c r="L3" s="25"/>
      <c r="M3" s="25"/>
      <c r="N3" s="25"/>
      <c r="O3" s="25"/>
      <c r="P3" s="25"/>
      <c r="Q3" s="25"/>
      <c r="R3" s="25"/>
      <c r="S3" s="25"/>
      <c r="T3" s="25"/>
      <c r="U3" s="25"/>
      <c r="V3" s="25"/>
      <c r="W3" s="25"/>
      <c r="X3" s="25"/>
      <c r="Y3" s="25"/>
      <c r="Z3" s="25"/>
    </row>
    <row r="4" ht="27.0" customHeight="1">
      <c r="A4" s="25"/>
      <c r="B4" s="35" t="s">
        <v>37</v>
      </c>
      <c r="C4" s="36" t="s">
        <v>38</v>
      </c>
      <c r="D4" s="25"/>
      <c r="E4" s="25"/>
      <c r="F4" s="25"/>
      <c r="G4" s="25"/>
      <c r="H4" s="25"/>
      <c r="I4" s="25"/>
      <c r="J4" s="25"/>
      <c r="K4" s="25"/>
      <c r="L4" s="25"/>
      <c r="M4" s="25"/>
      <c r="N4" s="25"/>
      <c r="O4" s="25"/>
      <c r="P4" s="25"/>
      <c r="Q4" s="25"/>
      <c r="R4" s="25"/>
      <c r="S4" s="25"/>
      <c r="T4" s="25"/>
      <c r="U4" s="25"/>
      <c r="V4" s="25"/>
      <c r="W4" s="25"/>
      <c r="X4" s="25"/>
      <c r="Y4" s="25"/>
      <c r="Z4" s="25"/>
    </row>
    <row r="5" ht="27.0" customHeight="1">
      <c r="A5" s="25"/>
      <c r="B5" s="35" t="s">
        <v>39</v>
      </c>
      <c r="C5" s="36" t="s">
        <v>40</v>
      </c>
      <c r="D5" s="25"/>
      <c r="E5" s="25"/>
      <c r="F5" s="25"/>
      <c r="G5" s="25"/>
      <c r="H5" s="25"/>
      <c r="I5" s="25"/>
      <c r="J5" s="25"/>
      <c r="K5" s="25"/>
      <c r="L5" s="25"/>
      <c r="M5" s="25"/>
      <c r="N5" s="25"/>
      <c r="O5" s="25"/>
      <c r="P5" s="25"/>
      <c r="Q5" s="25"/>
      <c r="R5" s="25"/>
      <c r="S5" s="25"/>
      <c r="T5" s="25"/>
      <c r="U5" s="25"/>
      <c r="V5" s="25"/>
      <c r="W5" s="25"/>
      <c r="X5" s="25"/>
      <c r="Y5" s="25"/>
      <c r="Z5" s="25"/>
    </row>
    <row r="6" ht="27.0" customHeight="1">
      <c r="A6" s="25"/>
      <c r="B6" s="35" t="s">
        <v>41</v>
      </c>
      <c r="C6" s="36" t="s">
        <v>42</v>
      </c>
      <c r="D6" s="25"/>
      <c r="E6" s="25"/>
      <c r="F6" s="25"/>
      <c r="G6" s="25"/>
      <c r="H6" s="25"/>
      <c r="I6" s="25"/>
      <c r="J6" s="25"/>
      <c r="K6" s="25"/>
      <c r="L6" s="25"/>
      <c r="M6" s="25"/>
      <c r="N6" s="25"/>
      <c r="O6" s="25"/>
      <c r="P6" s="25"/>
      <c r="Q6" s="25"/>
      <c r="R6" s="25"/>
      <c r="S6" s="25"/>
      <c r="T6" s="25"/>
      <c r="U6" s="25"/>
      <c r="V6" s="25"/>
      <c r="W6" s="25"/>
      <c r="X6" s="25"/>
      <c r="Y6" s="25"/>
      <c r="Z6" s="25"/>
    </row>
    <row r="7" ht="27.0" customHeight="1">
      <c r="A7" s="25"/>
      <c r="B7" s="25"/>
      <c r="C7" s="25"/>
      <c r="D7" s="25"/>
      <c r="E7" s="25"/>
      <c r="F7" s="25"/>
      <c r="G7" s="25"/>
      <c r="H7" s="25"/>
      <c r="I7" s="25"/>
      <c r="J7" s="25"/>
      <c r="K7" s="25"/>
      <c r="L7" s="25"/>
      <c r="M7" s="25"/>
      <c r="N7" s="25"/>
      <c r="O7" s="25"/>
      <c r="P7" s="25"/>
      <c r="Q7" s="25"/>
      <c r="R7" s="25"/>
      <c r="S7" s="25"/>
      <c r="T7" s="25"/>
      <c r="U7" s="25"/>
      <c r="V7" s="25"/>
      <c r="W7" s="25"/>
      <c r="X7" s="25"/>
      <c r="Y7" s="25"/>
      <c r="Z7" s="25"/>
    </row>
    <row r="8" ht="27.0" customHeight="1">
      <c r="A8" s="25"/>
      <c r="B8" s="34" t="s">
        <v>43</v>
      </c>
      <c r="C8" s="28"/>
      <c r="D8" s="25"/>
      <c r="E8" s="25"/>
      <c r="F8" s="25"/>
      <c r="G8" s="25"/>
      <c r="H8" s="25"/>
      <c r="I8" s="25"/>
      <c r="J8" s="25"/>
      <c r="K8" s="25"/>
      <c r="L8" s="25"/>
      <c r="M8" s="25"/>
      <c r="N8" s="25"/>
      <c r="O8" s="25"/>
      <c r="P8" s="25"/>
      <c r="Q8" s="25"/>
      <c r="R8" s="25"/>
      <c r="S8" s="25"/>
      <c r="T8" s="25"/>
      <c r="U8" s="25"/>
      <c r="V8" s="25"/>
      <c r="W8" s="25"/>
      <c r="X8" s="25"/>
      <c r="Y8" s="25"/>
      <c r="Z8" s="25"/>
    </row>
    <row r="9" ht="27.0" customHeight="1">
      <c r="A9" s="25"/>
      <c r="B9" s="29" t="s">
        <v>35</v>
      </c>
      <c r="C9" s="29" t="s">
        <v>36</v>
      </c>
      <c r="D9" s="25"/>
      <c r="E9" s="25" t="s">
        <v>44</v>
      </c>
      <c r="F9" s="25"/>
      <c r="G9" s="25"/>
      <c r="H9" s="25"/>
      <c r="I9" s="25"/>
      <c r="J9" s="25"/>
      <c r="K9" s="25"/>
      <c r="L9" s="25"/>
      <c r="M9" s="25"/>
      <c r="N9" s="25"/>
      <c r="O9" s="25"/>
      <c r="P9" s="25"/>
      <c r="Q9" s="25"/>
      <c r="R9" s="25"/>
      <c r="S9" s="25"/>
      <c r="T9" s="25"/>
      <c r="U9" s="25"/>
      <c r="V9" s="25"/>
      <c r="W9" s="25"/>
      <c r="X9" s="25"/>
      <c r="Y9" s="25"/>
      <c r="Z9" s="25"/>
    </row>
    <row r="10" ht="27.0" customHeight="1">
      <c r="A10" s="25"/>
      <c r="B10" s="35" t="s">
        <v>37</v>
      </c>
      <c r="C10" s="37" t="s">
        <v>45</v>
      </c>
      <c r="D10" s="25"/>
      <c r="E10" s="25"/>
      <c r="F10" s="25"/>
      <c r="G10" s="25"/>
      <c r="H10" s="25"/>
      <c r="I10" s="25"/>
      <c r="J10" s="25"/>
      <c r="K10" s="25"/>
      <c r="L10" s="25"/>
      <c r="M10" s="25"/>
      <c r="N10" s="25"/>
      <c r="O10" s="25"/>
      <c r="P10" s="25"/>
      <c r="Q10" s="25"/>
      <c r="R10" s="25"/>
      <c r="S10" s="25"/>
      <c r="T10" s="25"/>
      <c r="U10" s="25"/>
      <c r="V10" s="25"/>
      <c r="W10" s="25"/>
      <c r="X10" s="25"/>
      <c r="Y10" s="25"/>
      <c r="Z10" s="25"/>
    </row>
    <row r="11" ht="27.0" customHeight="1">
      <c r="A11" s="25"/>
      <c r="B11" s="35" t="s">
        <v>39</v>
      </c>
      <c r="C11" s="37" t="s">
        <v>46</v>
      </c>
      <c r="D11" s="25"/>
      <c r="E11" s="25"/>
      <c r="F11" s="25"/>
      <c r="G11" s="25"/>
      <c r="H11" s="25"/>
      <c r="I11" s="25"/>
      <c r="J11" s="25"/>
      <c r="K11" s="25"/>
      <c r="L11" s="25"/>
      <c r="M11" s="25"/>
      <c r="N11" s="25"/>
      <c r="O11" s="25"/>
      <c r="P11" s="25"/>
      <c r="Q11" s="25"/>
      <c r="R11" s="25"/>
      <c r="S11" s="25"/>
      <c r="T11" s="25"/>
      <c r="U11" s="25"/>
      <c r="V11" s="25"/>
      <c r="W11" s="25"/>
      <c r="X11" s="25"/>
      <c r="Y11" s="25"/>
      <c r="Z11" s="25"/>
    </row>
    <row r="12" ht="27.0" customHeight="1">
      <c r="A12" s="25"/>
      <c r="B12" s="35" t="s">
        <v>41</v>
      </c>
      <c r="C12" s="37" t="s">
        <v>47</v>
      </c>
      <c r="D12" s="25"/>
      <c r="E12" s="25"/>
      <c r="F12" s="25"/>
      <c r="G12" s="25"/>
      <c r="H12" s="25"/>
      <c r="I12" s="25"/>
      <c r="J12" s="25"/>
      <c r="K12" s="25"/>
      <c r="L12" s="25"/>
      <c r="M12" s="25"/>
      <c r="N12" s="25"/>
      <c r="O12" s="25"/>
      <c r="P12" s="25"/>
      <c r="Q12" s="25"/>
      <c r="R12" s="25"/>
      <c r="S12" s="25"/>
      <c r="T12" s="25"/>
      <c r="U12" s="25"/>
      <c r="V12" s="25"/>
      <c r="W12" s="25"/>
      <c r="X12" s="25"/>
      <c r="Y12" s="25"/>
      <c r="Z12" s="25"/>
    </row>
    <row r="13" ht="27.0" customHeight="1">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ht="27.0" customHeight="1">
      <c r="A14" s="25"/>
      <c r="B14" s="34" t="s">
        <v>48</v>
      </c>
      <c r="C14" s="28"/>
      <c r="D14" s="25"/>
      <c r="E14" s="25"/>
      <c r="F14" s="25"/>
      <c r="G14" s="25"/>
      <c r="H14" s="25"/>
      <c r="I14" s="25"/>
      <c r="J14" s="25"/>
      <c r="K14" s="25"/>
      <c r="L14" s="25"/>
      <c r="M14" s="25"/>
      <c r="N14" s="25"/>
      <c r="O14" s="25"/>
      <c r="P14" s="25"/>
      <c r="Q14" s="25"/>
      <c r="R14" s="25"/>
      <c r="S14" s="25"/>
      <c r="T14" s="25"/>
      <c r="U14" s="25"/>
      <c r="V14" s="25"/>
      <c r="W14" s="25"/>
      <c r="X14" s="25"/>
      <c r="Y14" s="25"/>
      <c r="Z14" s="25"/>
    </row>
    <row r="15" ht="27.0" customHeight="1">
      <c r="A15" s="25"/>
      <c r="B15" s="29" t="s">
        <v>49</v>
      </c>
      <c r="C15" s="29" t="s">
        <v>36</v>
      </c>
      <c r="D15" s="25"/>
      <c r="E15" s="25"/>
      <c r="F15" s="25"/>
      <c r="G15" s="25"/>
      <c r="H15" s="25"/>
      <c r="I15" s="25"/>
      <c r="J15" s="25"/>
      <c r="K15" s="25"/>
      <c r="L15" s="25"/>
      <c r="M15" s="25"/>
      <c r="N15" s="25"/>
      <c r="O15" s="25"/>
      <c r="P15" s="25"/>
      <c r="Q15" s="25"/>
      <c r="R15" s="25"/>
      <c r="S15" s="25"/>
      <c r="T15" s="25"/>
      <c r="U15" s="25"/>
      <c r="V15" s="25"/>
      <c r="W15" s="25"/>
      <c r="X15" s="25"/>
      <c r="Y15" s="25"/>
      <c r="Z15" s="25"/>
    </row>
    <row r="16" ht="27.0" customHeight="1">
      <c r="A16" s="25"/>
      <c r="B16" s="38" t="s">
        <v>50</v>
      </c>
      <c r="C16" s="37" t="s">
        <v>51</v>
      </c>
      <c r="D16" s="25"/>
      <c r="E16" s="25"/>
      <c r="F16" s="25"/>
      <c r="G16" s="25"/>
      <c r="H16" s="25"/>
      <c r="I16" s="25"/>
      <c r="J16" s="25"/>
      <c r="K16" s="25"/>
      <c r="L16" s="25"/>
      <c r="M16" s="25"/>
      <c r="N16" s="25"/>
      <c r="O16" s="25"/>
      <c r="P16" s="25"/>
      <c r="Q16" s="25"/>
      <c r="R16" s="25"/>
      <c r="S16" s="25"/>
      <c r="T16" s="25"/>
      <c r="U16" s="25"/>
      <c r="V16" s="25"/>
      <c r="W16" s="25"/>
      <c r="X16" s="25"/>
      <c r="Y16" s="25"/>
      <c r="Z16" s="25"/>
    </row>
    <row r="17" ht="27.0" customHeight="1">
      <c r="A17" s="25" t="s">
        <v>44</v>
      </c>
      <c r="B17" s="39" t="s">
        <v>52</v>
      </c>
      <c r="C17" s="37" t="s">
        <v>53</v>
      </c>
      <c r="D17" s="25"/>
      <c r="E17" s="25"/>
      <c r="F17" s="25"/>
      <c r="G17" s="25"/>
      <c r="H17" s="25"/>
      <c r="I17" s="25"/>
      <c r="J17" s="25"/>
      <c r="K17" s="25"/>
      <c r="L17" s="25"/>
      <c r="M17" s="25"/>
      <c r="N17" s="25"/>
      <c r="O17" s="25"/>
      <c r="P17" s="25"/>
      <c r="Q17" s="25"/>
      <c r="R17" s="25"/>
      <c r="S17" s="25"/>
      <c r="T17" s="25"/>
      <c r="U17" s="25"/>
      <c r="V17" s="25"/>
      <c r="W17" s="25"/>
      <c r="X17" s="25"/>
      <c r="Y17" s="25"/>
      <c r="Z17" s="25"/>
    </row>
    <row r="18" ht="27.0" customHeight="1">
      <c r="A18" s="25" t="s">
        <v>54</v>
      </c>
      <c r="B18" s="25"/>
      <c r="C18" s="25"/>
      <c r="D18" s="25"/>
      <c r="E18" s="25"/>
      <c r="F18" s="25"/>
      <c r="G18" s="25"/>
      <c r="H18" s="25"/>
      <c r="I18" s="25"/>
      <c r="J18" s="25"/>
      <c r="K18" s="25"/>
      <c r="L18" s="25"/>
      <c r="M18" s="25"/>
      <c r="N18" s="25"/>
      <c r="O18" s="25"/>
      <c r="P18" s="25"/>
      <c r="Q18" s="25"/>
      <c r="R18" s="25"/>
      <c r="S18" s="25"/>
      <c r="T18" s="25"/>
      <c r="U18" s="25"/>
      <c r="V18" s="25"/>
      <c r="W18" s="25"/>
      <c r="X18" s="25"/>
      <c r="Y18" s="25"/>
      <c r="Z18" s="25"/>
    </row>
    <row r="19" ht="13.5" customHeight="1">
      <c r="A19" s="25" t="s">
        <v>55</v>
      </c>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13.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13.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13.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13.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13.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13.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13.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13.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13.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13.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13.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13.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13.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13.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13.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13.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13.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13.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13.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13.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13.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13.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13.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13.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13.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13.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13.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13.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13.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13.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13.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13.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13.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13.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13.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13.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13.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13.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13.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13.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13.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13.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13.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13.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13.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13.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13.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13.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13.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13.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13.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13.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13.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13.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13.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13.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13.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13.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13.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13.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13.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13.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13.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13.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13.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13.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13.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13.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13.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13.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13.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13.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13.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13.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13.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13.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13.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13.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13.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13.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13.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13.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13.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13.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13.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13.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13.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13.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13.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13.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13.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13.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13.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13.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13.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13.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13.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13.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13.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13.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13.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13.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13.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13.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13.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13.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13.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13.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13.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13.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13.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13.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13.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13.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13.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13.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13.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13.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13.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13.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13.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13.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13.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13.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13.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13.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13.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13.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13.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13.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13.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13.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13.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13.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13.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13.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13.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13.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13.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13.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13.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13.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13.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13.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13.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13.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13.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13.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13.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13.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13.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13.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13.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13.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13.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13.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13.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13.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13.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13.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13.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13.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13.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13.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13.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13.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13.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13.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13.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13.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13.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13.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13.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13.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13.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13.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13.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13.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13.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13.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13.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13.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13.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13.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13.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13.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13.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13.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13.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13.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13.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13.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13.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13.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13.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13.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13.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13.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13.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13.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13.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13.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13.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13.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13.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13.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13.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13.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13.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13.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13.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13.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13.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13.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13.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13.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13.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13.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13.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13.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13.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13.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13.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13.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13.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13.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13.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13.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13.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13.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13.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13.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13.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13.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13.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13.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13.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13.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13.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13.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13.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13.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13.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13.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13.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13.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13.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13.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13.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13.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13.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13.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13.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13.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13.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13.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13.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13.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13.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13.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13.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13.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13.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13.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13.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13.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13.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13.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13.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13.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13.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13.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13.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13.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13.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13.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13.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13.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13.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13.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13.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13.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13.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13.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13.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13.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13.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13.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13.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13.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13.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13.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13.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13.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13.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13.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13.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13.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13.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13.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13.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13.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13.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13.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13.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13.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13.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13.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13.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13.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13.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13.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13.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13.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13.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13.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13.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13.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13.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13.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13.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13.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13.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13.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13.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13.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13.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13.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13.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13.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13.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13.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13.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13.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13.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13.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13.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13.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13.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13.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13.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13.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13.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13.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13.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13.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13.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13.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13.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13.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13.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13.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13.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13.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13.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13.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13.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13.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13.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13.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13.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13.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13.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13.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13.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13.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13.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13.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13.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13.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13.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13.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13.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13.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13.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13.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13.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13.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13.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13.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13.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13.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13.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13.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13.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13.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13.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13.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13.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13.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13.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13.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13.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13.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13.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13.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13.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13.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13.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13.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13.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13.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13.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13.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13.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13.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13.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13.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13.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13.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13.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13.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13.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13.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13.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13.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13.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13.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13.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13.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13.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13.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13.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13.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13.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13.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13.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13.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13.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13.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13.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13.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13.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13.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13.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13.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13.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13.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13.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13.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13.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13.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13.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13.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13.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13.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13.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13.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13.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13.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13.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13.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13.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13.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13.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13.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13.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13.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13.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13.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13.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13.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13.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13.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13.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13.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13.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13.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13.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13.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13.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13.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13.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13.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13.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13.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13.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13.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13.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13.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13.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13.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13.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13.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13.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13.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13.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13.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13.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13.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13.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13.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13.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13.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13.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13.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13.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13.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13.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13.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13.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13.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13.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13.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13.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13.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13.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13.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13.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13.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13.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13.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13.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13.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13.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13.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13.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13.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13.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13.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13.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13.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13.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13.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13.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13.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13.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13.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13.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13.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13.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13.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13.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13.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13.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13.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13.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13.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13.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13.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13.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13.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13.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13.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13.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13.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13.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13.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13.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13.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13.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13.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13.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13.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13.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13.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13.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13.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13.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13.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13.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13.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13.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13.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13.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13.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13.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13.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13.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13.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13.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13.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13.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13.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13.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13.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13.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13.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13.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13.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13.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13.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13.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13.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13.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13.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13.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13.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13.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13.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13.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13.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13.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13.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13.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13.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13.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13.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13.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13.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13.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13.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13.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13.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13.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13.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13.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13.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13.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13.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13.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13.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13.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13.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13.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13.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13.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13.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13.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13.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13.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13.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13.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13.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13.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13.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13.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13.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13.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13.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13.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13.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13.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13.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13.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13.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13.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13.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13.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13.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13.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13.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13.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13.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13.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13.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13.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13.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13.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13.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13.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13.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13.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13.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13.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13.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13.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13.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13.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13.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13.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13.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13.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13.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13.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13.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13.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13.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13.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13.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13.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13.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13.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13.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13.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13.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13.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13.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13.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13.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13.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13.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13.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13.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13.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13.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13.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13.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13.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13.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13.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13.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13.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13.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13.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13.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13.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13.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13.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13.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13.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13.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13.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13.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13.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13.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13.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13.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13.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13.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13.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13.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13.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13.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13.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13.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13.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13.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13.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13.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13.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13.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13.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13.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13.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13.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13.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13.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13.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13.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13.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13.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13.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13.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13.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13.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13.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13.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13.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13.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13.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13.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13.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13.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13.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13.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13.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13.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13.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13.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13.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13.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13.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13.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13.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13.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13.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13.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13.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13.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13.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13.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13.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13.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13.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13.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13.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13.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13.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13.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13.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13.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13.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13.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13.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13.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13.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13.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13.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13.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13.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13.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13.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13.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13.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13.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13.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13.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13.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13.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13.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13.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13.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13.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13.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13.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13.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13.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13.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13.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13.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13.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13.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13.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13.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13.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13.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13.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13.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13.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13.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13.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13.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13.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13.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13.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13.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13.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13.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13.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13.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13.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13.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13.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13.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13.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13.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13.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13.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13.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13.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13.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13.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13.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13.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13.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13.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13.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13.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13.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13.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13.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13.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13.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13.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13.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13.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13.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13.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13.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13.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13.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13.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13.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13.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13.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13.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13.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13.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13.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13.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13.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13.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13.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13.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13.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13.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13.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13.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13.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13.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13.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13.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13.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13.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13.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13.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13.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13.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13.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13.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13.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13.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13.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13.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13.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13.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13.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13.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13.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13.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13.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13.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13.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13.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13.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13.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13.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13.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13.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13.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13.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13.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13.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13.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13.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13.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13.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13.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13.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13.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13.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13.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13.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13.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13.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13.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13.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13.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13.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13.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13.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13.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13.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13.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13.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13.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13.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13.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13.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13.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13.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13.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13.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13.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13.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13.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13.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13.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13.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13.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13.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13.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13.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13.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13.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13.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13.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13.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13.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13.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13.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13.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13.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13.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13.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13.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13.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13.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13.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13.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13.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13.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13.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13.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13.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13.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13.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13.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13.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13.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13.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13.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13.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13.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13.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13.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13.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13.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13.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13.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3">
    <mergeCell ref="B2:C2"/>
    <mergeCell ref="B8:C8"/>
    <mergeCell ref="B14:C14"/>
  </mergeCells>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workbookViewId="0"/>
  </sheetViews>
  <sheetFormatPr customHeight="1" defaultColWidth="14.43" defaultRowHeight="15.0"/>
  <cols>
    <col customWidth="1" min="1" max="1" width="11.43"/>
    <col customWidth="1" min="2" max="2" width="58.43"/>
    <col customWidth="1" min="3" max="3" width="4.86"/>
    <col customWidth="1" min="4" max="7" width="11.43"/>
    <col customWidth="1" min="8" max="8" width="19.0"/>
    <col customWidth="1" min="9" max="9" width="5.71"/>
    <col customWidth="1" min="10" max="11" width="11.43"/>
    <col customWidth="1" min="12" max="12" width="23.0"/>
    <col customWidth="1" min="13" max="26" width="11.43"/>
  </cols>
  <sheetData>
    <row r="1" ht="240.75"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23.25" customHeight="1">
      <c r="A2" s="25"/>
      <c r="B2" s="40" t="s">
        <v>56</v>
      </c>
      <c r="C2" s="41"/>
      <c r="D2" s="42" t="s">
        <v>56</v>
      </c>
      <c r="E2" s="43"/>
      <c r="F2" s="43"/>
      <c r="G2" s="43"/>
      <c r="H2" s="44"/>
      <c r="I2" s="41"/>
      <c r="J2" s="42" t="s">
        <v>56</v>
      </c>
      <c r="K2" s="43"/>
      <c r="L2" s="44"/>
      <c r="M2" s="25"/>
      <c r="N2" s="25"/>
      <c r="O2" s="25"/>
      <c r="P2" s="25"/>
      <c r="Q2" s="25"/>
      <c r="R2" s="25"/>
      <c r="S2" s="25"/>
      <c r="T2" s="25"/>
      <c r="U2" s="25"/>
      <c r="V2" s="25"/>
      <c r="W2" s="25"/>
      <c r="X2" s="25"/>
      <c r="Y2" s="25"/>
      <c r="Z2" s="25"/>
    </row>
    <row r="3" ht="23.25" customHeight="1">
      <c r="A3" s="25"/>
      <c r="B3" s="45" t="s">
        <v>57</v>
      </c>
      <c r="C3" s="25"/>
      <c r="D3" s="46" t="s">
        <v>31</v>
      </c>
      <c r="E3" s="43"/>
      <c r="F3" s="43"/>
      <c r="G3" s="43"/>
      <c r="H3" s="44"/>
      <c r="I3" s="25"/>
      <c r="J3" s="47" t="s">
        <v>58</v>
      </c>
      <c r="K3" s="43"/>
      <c r="L3" s="44"/>
      <c r="M3" s="25"/>
      <c r="N3" s="25"/>
      <c r="O3" s="25"/>
      <c r="P3" s="25"/>
      <c r="Q3" s="25"/>
      <c r="R3" s="25"/>
      <c r="S3" s="25"/>
      <c r="T3" s="25"/>
      <c r="U3" s="25"/>
      <c r="V3" s="25"/>
      <c r="W3" s="25"/>
      <c r="X3" s="25"/>
      <c r="Y3" s="25"/>
      <c r="Z3" s="25"/>
    </row>
    <row r="4" ht="23.25" customHeight="1">
      <c r="A4" s="25"/>
      <c r="B4" s="45" t="s">
        <v>59</v>
      </c>
      <c r="C4" s="25"/>
      <c r="D4" s="46" t="s">
        <v>60</v>
      </c>
      <c r="E4" s="43"/>
      <c r="F4" s="43"/>
      <c r="G4" s="43"/>
      <c r="H4" s="44"/>
      <c r="I4" s="25"/>
      <c r="J4" s="47" t="s">
        <v>61</v>
      </c>
      <c r="K4" s="43"/>
      <c r="L4" s="44"/>
      <c r="M4" s="25"/>
      <c r="N4" s="25"/>
      <c r="O4" s="25"/>
      <c r="P4" s="25"/>
      <c r="Q4" s="25"/>
      <c r="R4" s="25"/>
      <c r="S4" s="25"/>
      <c r="T4" s="25"/>
      <c r="U4" s="25"/>
      <c r="V4" s="25"/>
      <c r="W4" s="25"/>
      <c r="X4" s="25"/>
      <c r="Y4" s="25"/>
      <c r="Z4" s="25"/>
    </row>
    <row r="5" ht="23.25" customHeight="1">
      <c r="A5" s="25"/>
      <c r="B5" s="45" t="s">
        <v>62</v>
      </c>
      <c r="C5" s="25"/>
      <c r="D5" s="46" t="s">
        <v>63</v>
      </c>
      <c r="E5" s="43"/>
      <c r="F5" s="43"/>
      <c r="G5" s="43"/>
      <c r="H5" s="44"/>
      <c r="I5" s="25"/>
      <c r="J5" s="47" t="s">
        <v>64</v>
      </c>
      <c r="K5" s="43"/>
      <c r="L5" s="44"/>
      <c r="M5" s="25"/>
      <c r="N5" s="25"/>
      <c r="O5" s="25"/>
      <c r="P5" s="25"/>
      <c r="Q5" s="25"/>
      <c r="R5" s="25"/>
      <c r="S5" s="25"/>
      <c r="T5" s="25"/>
      <c r="U5" s="25"/>
      <c r="V5" s="25"/>
      <c r="W5" s="25"/>
      <c r="X5" s="25"/>
      <c r="Y5" s="25"/>
      <c r="Z5" s="25"/>
    </row>
    <row r="6" ht="23.25" customHeight="1">
      <c r="A6" s="25"/>
      <c r="B6" s="25"/>
      <c r="C6" s="25"/>
      <c r="D6" s="46" t="s">
        <v>65</v>
      </c>
      <c r="E6" s="43"/>
      <c r="F6" s="43"/>
      <c r="G6" s="43"/>
      <c r="H6" s="44"/>
      <c r="I6" s="25"/>
      <c r="J6" s="25"/>
      <c r="K6" s="41"/>
      <c r="L6" s="25"/>
      <c r="M6" s="25"/>
      <c r="N6" s="25"/>
      <c r="O6" s="25"/>
      <c r="P6" s="25"/>
      <c r="Q6" s="25"/>
      <c r="R6" s="25"/>
      <c r="S6" s="25"/>
      <c r="T6" s="25"/>
      <c r="U6" s="25"/>
      <c r="V6" s="25"/>
      <c r="W6" s="25"/>
      <c r="X6" s="25"/>
      <c r="Y6" s="25"/>
      <c r="Z6" s="25"/>
    </row>
    <row r="7" ht="23.25" customHeight="1">
      <c r="A7" s="25"/>
      <c r="B7" s="40" t="s">
        <v>56</v>
      </c>
      <c r="C7" s="25"/>
      <c r="D7" s="46" t="s">
        <v>66</v>
      </c>
      <c r="E7" s="43"/>
      <c r="F7" s="43"/>
      <c r="G7" s="43"/>
      <c r="H7" s="44"/>
      <c r="I7" s="25"/>
      <c r="J7" s="42" t="s">
        <v>56</v>
      </c>
      <c r="K7" s="43"/>
      <c r="L7" s="44"/>
      <c r="M7" s="25"/>
      <c r="N7" s="25"/>
      <c r="O7" s="25"/>
      <c r="P7" s="25"/>
      <c r="Q7" s="25"/>
      <c r="R7" s="25"/>
      <c r="S7" s="25"/>
      <c r="T7" s="25"/>
      <c r="U7" s="25"/>
      <c r="V7" s="25"/>
      <c r="W7" s="25"/>
      <c r="X7" s="25"/>
      <c r="Y7" s="25"/>
      <c r="Z7" s="25"/>
    </row>
    <row r="8" ht="23.25" customHeight="1">
      <c r="A8" s="25"/>
      <c r="B8" s="48" t="s">
        <v>25</v>
      </c>
      <c r="C8" s="25"/>
      <c r="D8" s="25"/>
      <c r="E8" s="25"/>
      <c r="F8" s="25"/>
      <c r="G8" s="25"/>
      <c r="H8" s="25"/>
      <c r="I8" s="25"/>
      <c r="J8" s="49" t="s">
        <v>29</v>
      </c>
      <c r="K8" s="43"/>
      <c r="L8" s="44"/>
      <c r="M8" s="25"/>
      <c r="N8" s="25"/>
      <c r="O8" s="25"/>
      <c r="P8" s="25"/>
      <c r="Q8" s="25"/>
      <c r="R8" s="25"/>
      <c r="S8" s="25"/>
      <c r="T8" s="25"/>
      <c r="U8" s="25"/>
      <c r="V8" s="25"/>
      <c r="W8" s="25"/>
      <c r="X8" s="25"/>
      <c r="Y8" s="25"/>
      <c r="Z8" s="25"/>
    </row>
    <row r="9" ht="23.25" customHeight="1">
      <c r="A9" s="25"/>
      <c r="B9" s="48" t="s">
        <v>67</v>
      </c>
      <c r="C9" s="25"/>
      <c r="D9" s="42" t="s">
        <v>56</v>
      </c>
      <c r="E9" s="43"/>
      <c r="F9" s="43"/>
      <c r="G9" s="43"/>
      <c r="H9" s="44"/>
      <c r="I9" s="25"/>
      <c r="J9" s="49" t="s">
        <v>68</v>
      </c>
      <c r="K9" s="43"/>
      <c r="L9" s="44"/>
      <c r="M9" s="25"/>
      <c r="N9" s="25"/>
      <c r="O9" s="25"/>
      <c r="P9" s="25"/>
      <c r="Q9" s="25"/>
      <c r="R9" s="25"/>
      <c r="S9" s="25"/>
      <c r="T9" s="25"/>
      <c r="U9" s="25"/>
      <c r="V9" s="25"/>
      <c r="W9" s="25"/>
      <c r="X9" s="25"/>
      <c r="Y9" s="25"/>
      <c r="Z9" s="25"/>
    </row>
    <row r="10" ht="23.25" customHeight="1">
      <c r="A10" s="25"/>
      <c r="B10" s="48" t="s">
        <v>69</v>
      </c>
      <c r="C10" s="25"/>
      <c r="D10" s="50" t="s">
        <v>26</v>
      </c>
      <c r="E10" s="43"/>
      <c r="F10" s="43"/>
      <c r="G10" s="43"/>
      <c r="H10" s="44"/>
      <c r="I10" s="25"/>
      <c r="J10" s="49" t="s">
        <v>70</v>
      </c>
      <c r="K10" s="43"/>
      <c r="L10" s="44"/>
      <c r="M10" s="25"/>
      <c r="N10" s="25"/>
      <c r="O10" s="25"/>
      <c r="P10" s="25"/>
      <c r="Q10" s="25"/>
      <c r="R10" s="25"/>
      <c r="S10" s="25"/>
      <c r="T10" s="25"/>
      <c r="U10" s="25"/>
      <c r="V10" s="25"/>
      <c r="W10" s="25"/>
      <c r="X10" s="25"/>
      <c r="Y10" s="25"/>
      <c r="Z10" s="25"/>
    </row>
    <row r="11" ht="23.25" customHeight="1">
      <c r="A11" s="25"/>
      <c r="B11" s="48" t="s">
        <v>71</v>
      </c>
      <c r="C11" s="25"/>
      <c r="D11" s="50" t="s">
        <v>72</v>
      </c>
      <c r="E11" s="43"/>
      <c r="F11" s="43"/>
      <c r="G11" s="43"/>
      <c r="H11" s="44"/>
      <c r="I11" s="25"/>
      <c r="J11" s="49" t="s">
        <v>73</v>
      </c>
      <c r="K11" s="43"/>
      <c r="L11" s="44"/>
      <c r="M11" s="25"/>
      <c r="N11" s="25"/>
      <c r="O11" s="25"/>
      <c r="P11" s="25"/>
      <c r="Q11" s="25"/>
      <c r="R11" s="25"/>
      <c r="S11" s="25"/>
      <c r="T11" s="25"/>
      <c r="U11" s="25"/>
      <c r="V11" s="25"/>
      <c r="W11" s="25"/>
      <c r="X11" s="25"/>
      <c r="Y11" s="25"/>
      <c r="Z11" s="25"/>
    </row>
    <row r="12" ht="23.25" customHeight="1">
      <c r="A12" s="25"/>
      <c r="B12" s="48" t="s">
        <v>74</v>
      </c>
      <c r="C12" s="25"/>
      <c r="D12" s="50" t="s">
        <v>75</v>
      </c>
      <c r="E12" s="43"/>
      <c r="F12" s="43"/>
      <c r="G12" s="43"/>
      <c r="H12" s="44"/>
      <c r="I12" s="25"/>
      <c r="J12" s="49" t="s">
        <v>76</v>
      </c>
      <c r="K12" s="43"/>
      <c r="L12" s="44"/>
      <c r="M12" s="25"/>
      <c r="N12" s="25"/>
      <c r="O12" s="25"/>
      <c r="P12" s="25"/>
      <c r="Q12" s="25"/>
      <c r="R12" s="25"/>
      <c r="S12" s="25"/>
      <c r="T12" s="25"/>
      <c r="U12" s="25"/>
      <c r="V12" s="25"/>
      <c r="W12" s="25"/>
      <c r="X12" s="25"/>
      <c r="Y12" s="25"/>
      <c r="Z12" s="25"/>
    </row>
    <row r="13" ht="23.25" customHeight="1">
      <c r="A13" s="25"/>
      <c r="B13" s="48" t="s">
        <v>77</v>
      </c>
      <c r="C13" s="25"/>
      <c r="D13" s="50" t="s">
        <v>78</v>
      </c>
      <c r="E13" s="43"/>
      <c r="F13" s="43"/>
      <c r="G13" s="43"/>
      <c r="H13" s="44"/>
      <c r="I13" s="25"/>
      <c r="J13" s="25"/>
      <c r="K13" s="25"/>
      <c r="L13" s="25"/>
      <c r="M13" s="25"/>
      <c r="N13" s="25"/>
      <c r="O13" s="25"/>
      <c r="P13" s="25"/>
      <c r="Q13" s="25"/>
      <c r="R13" s="25"/>
      <c r="S13" s="25"/>
      <c r="T13" s="25"/>
      <c r="U13" s="25"/>
      <c r="V13" s="25"/>
      <c r="W13" s="25"/>
      <c r="X13" s="25"/>
      <c r="Y13" s="25"/>
      <c r="Z13" s="25"/>
    </row>
    <row r="14" ht="23.25" customHeight="1">
      <c r="A14" s="25"/>
      <c r="B14" s="25"/>
      <c r="C14" s="25"/>
      <c r="D14" s="50" t="s">
        <v>28</v>
      </c>
      <c r="E14" s="43"/>
      <c r="F14" s="43"/>
      <c r="G14" s="43"/>
      <c r="H14" s="44"/>
      <c r="I14" s="25"/>
      <c r="J14" s="25"/>
      <c r="K14" s="25"/>
      <c r="L14" s="25"/>
      <c r="M14" s="25"/>
      <c r="N14" s="25"/>
      <c r="O14" s="25"/>
      <c r="P14" s="25"/>
      <c r="Q14" s="25"/>
      <c r="R14" s="25"/>
      <c r="S14" s="25"/>
      <c r="T14" s="25"/>
      <c r="U14" s="25"/>
      <c r="V14" s="25"/>
      <c r="W14" s="25"/>
      <c r="X14" s="25"/>
      <c r="Y14" s="25"/>
      <c r="Z14" s="25"/>
    </row>
    <row r="15" ht="23.25" customHeight="1">
      <c r="A15" s="25"/>
      <c r="B15" s="25"/>
      <c r="C15" s="25"/>
      <c r="D15" s="50" t="s">
        <v>79</v>
      </c>
      <c r="E15" s="43"/>
      <c r="F15" s="43"/>
      <c r="G15" s="43"/>
      <c r="H15" s="44"/>
      <c r="I15" s="25"/>
      <c r="J15" s="25"/>
      <c r="K15" s="25"/>
      <c r="L15" s="25"/>
      <c r="M15" s="25"/>
      <c r="N15" s="25"/>
      <c r="O15" s="25"/>
      <c r="P15" s="25"/>
      <c r="Q15" s="25"/>
      <c r="R15" s="25"/>
      <c r="S15" s="25"/>
      <c r="T15" s="25"/>
      <c r="U15" s="25"/>
      <c r="V15" s="25"/>
      <c r="W15" s="25"/>
      <c r="X15" s="25"/>
      <c r="Y15" s="25"/>
      <c r="Z15" s="25"/>
    </row>
    <row r="16" ht="23.25" customHeight="1">
      <c r="A16" s="25"/>
      <c r="B16" s="25"/>
      <c r="C16" s="25"/>
      <c r="D16" s="50" t="s">
        <v>70</v>
      </c>
      <c r="E16" s="43"/>
      <c r="F16" s="43"/>
      <c r="G16" s="43"/>
      <c r="H16" s="44"/>
      <c r="I16" s="25"/>
      <c r="J16" s="25"/>
      <c r="K16" s="25"/>
      <c r="L16" s="25"/>
      <c r="M16" s="25"/>
      <c r="N16" s="25"/>
      <c r="O16" s="25"/>
      <c r="P16" s="25"/>
      <c r="Q16" s="25"/>
      <c r="R16" s="25"/>
      <c r="S16" s="25"/>
      <c r="T16" s="25"/>
      <c r="U16" s="25"/>
      <c r="V16" s="25"/>
      <c r="W16" s="25"/>
      <c r="X16" s="25"/>
      <c r="Y16" s="25"/>
      <c r="Z16" s="25"/>
    </row>
    <row r="17" ht="23.25" customHeight="1">
      <c r="A17" s="25"/>
      <c r="B17" s="25"/>
      <c r="C17" s="25"/>
      <c r="D17" s="50" t="s">
        <v>80</v>
      </c>
      <c r="E17" s="43"/>
      <c r="F17" s="43"/>
      <c r="G17" s="43"/>
      <c r="H17" s="44"/>
      <c r="I17" s="25"/>
      <c r="J17" s="25"/>
      <c r="K17" s="25"/>
      <c r="L17" s="25"/>
      <c r="M17" s="25"/>
      <c r="N17" s="25"/>
      <c r="O17" s="25"/>
      <c r="P17" s="25"/>
      <c r="Q17" s="25"/>
      <c r="R17" s="25"/>
      <c r="S17" s="25"/>
      <c r="T17" s="25"/>
      <c r="U17" s="25"/>
      <c r="V17" s="25"/>
      <c r="W17" s="25"/>
      <c r="X17" s="25"/>
      <c r="Y17" s="25"/>
      <c r="Z17" s="25"/>
    </row>
    <row r="18" ht="23.25" customHeight="1">
      <c r="A18" s="25"/>
      <c r="B18" s="25"/>
      <c r="C18" s="25"/>
      <c r="D18" s="50" t="s">
        <v>81</v>
      </c>
      <c r="E18" s="43"/>
      <c r="F18" s="43"/>
      <c r="G18" s="43"/>
      <c r="H18" s="44"/>
      <c r="I18" s="25"/>
      <c r="J18" s="25"/>
      <c r="K18" s="25"/>
      <c r="L18" s="25"/>
      <c r="M18" s="25"/>
      <c r="N18" s="25"/>
      <c r="O18" s="25"/>
      <c r="P18" s="25"/>
      <c r="Q18" s="25"/>
      <c r="R18" s="25"/>
      <c r="S18" s="25"/>
      <c r="T18" s="25"/>
      <c r="U18" s="25"/>
      <c r="V18" s="25"/>
      <c r="W18" s="25"/>
      <c r="X18" s="25"/>
      <c r="Y18" s="25"/>
      <c r="Z18" s="25"/>
    </row>
    <row r="19" ht="23.25" customHeight="1">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23.2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19.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19.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19.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19.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19.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19.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19.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19.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19.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19.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19.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19.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19.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13.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13.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13.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13.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13.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13.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13.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13.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13.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13.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13.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13.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13.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13.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13.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13.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13.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13.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13.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13.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13.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13.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13.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13.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13.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13.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13.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13.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13.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13.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13.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13.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13.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13.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13.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13.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13.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13.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13.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13.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13.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13.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13.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13.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13.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13.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13.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13.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13.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13.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13.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13.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13.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13.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13.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13.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13.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13.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13.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13.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13.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13.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13.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13.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13.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13.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13.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13.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13.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13.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13.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13.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13.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13.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13.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13.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13.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13.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13.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13.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13.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13.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13.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13.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13.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13.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13.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13.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13.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13.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13.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13.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13.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13.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13.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13.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13.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13.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13.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13.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13.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13.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13.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13.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13.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13.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13.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13.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13.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13.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13.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13.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13.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13.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13.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13.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13.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13.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13.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13.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13.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13.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13.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13.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13.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13.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13.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13.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13.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13.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13.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13.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13.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13.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13.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13.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13.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13.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13.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13.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13.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13.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13.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13.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13.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13.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13.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13.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13.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13.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13.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13.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13.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13.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13.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13.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13.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13.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13.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13.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13.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13.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13.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13.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13.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13.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13.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13.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13.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13.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13.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13.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13.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13.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13.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13.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13.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13.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13.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13.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13.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13.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13.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13.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13.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13.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13.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13.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13.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13.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13.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13.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13.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13.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13.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13.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13.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13.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13.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13.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13.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13.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13.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13.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13.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13.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13.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13.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13.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13.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13.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13.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13.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13.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13.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13.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13.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13.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13.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13.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13.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13.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13.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13.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13.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13.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13.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13.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13.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13.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13.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13.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13.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13.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13.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13.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13.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13.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13.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13.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13.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13.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13.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13.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13.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13.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13.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13.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13.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13.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13.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13.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13.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13.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13.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13.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13.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13.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13.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13.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13.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13.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13.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13.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13.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13.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13.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13.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13.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13.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13.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13.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13.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13.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13.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13.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13.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13.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13.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13.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13.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13.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13.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13.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13.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13.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13.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13.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13.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13.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13.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13.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13.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13.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13.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13.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13.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13.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13.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13.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13.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13.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13.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13.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13.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13.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13.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13.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13.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13.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13.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13.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13.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13.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13.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13.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13.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13.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13.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13.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13.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13.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13.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13.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13.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13.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13.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13.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13.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13.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13.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13.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13.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13.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13.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13.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13.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13.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13.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13.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13.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13.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13.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13.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13.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13.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13.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13.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13.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13.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13.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13.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13.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13.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13.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13.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13.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13.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13.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13.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13.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13.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13.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13.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13.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13.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13.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13.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13.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13.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13.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13.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13.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13.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13.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13.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13.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13.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13.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13.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13.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13.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13.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13.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13.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13.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13.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13.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13.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13.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13.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13.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13.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13.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13.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13.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13.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13.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13.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13.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13.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13.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13.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13.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13.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13.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13.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13.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13.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13.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13.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13.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13.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13.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13.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13.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13.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13.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13.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13.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13.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13.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13.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13.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13.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13.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13.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13.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13.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13.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13.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13.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13.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13.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13.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13.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13.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13.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13.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13.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13.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13.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13.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13.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13.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13.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13.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13.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13.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13.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13.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13.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13.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13.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13.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13.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13.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13.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13.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13.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13.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13.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13.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13.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13.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13.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13.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13.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13.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13.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13.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13.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13.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13.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13.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13.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13.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13.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13.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13.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13.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13.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13.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13.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13.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13.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13.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13.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13.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13.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13.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13.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13.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13.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13.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13.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13.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13.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13.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13.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13.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13.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13.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13.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13.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13.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13.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13.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13.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13.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13.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13.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13.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13.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13.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13.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13.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13.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13.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13.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13.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13.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13.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13.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13.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13.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13.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13.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13.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13.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13.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13.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13.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13.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13.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13.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13.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13.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13.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13.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13.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13.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13.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13.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13.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13.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13.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13.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13.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13.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13.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13.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13.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13.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13.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13.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13.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13.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13.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13.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13.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13.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13.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13.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13.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13.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13.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13.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13.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13.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13.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13.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13.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13.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13.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13.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13.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13.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13.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13.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13.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13.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13.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13.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13.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13.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13.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13.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13.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13.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13.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13.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13.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13.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13.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13.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13.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13.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13.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13.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13.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13.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13.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13.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13.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13.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13.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13.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13.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13.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13.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13.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13.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13.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13.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13.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13.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13.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13.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13.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13.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13.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13.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13.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13.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13.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13.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13.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13.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13.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13.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13.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13.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13.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13.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13.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13.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13.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13.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13.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13.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13.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13.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13.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13.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13.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13.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13.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13.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13.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13.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13.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13.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13.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13.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13.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13.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13.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13.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13.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13.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13.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13.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13.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13.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13.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13.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13.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13.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13.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13.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13.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13.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13.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13.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13.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13.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13.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13.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13.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13.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13.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13.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13.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13.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13.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13.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13.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13.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13.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13.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13.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13.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13.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13.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13.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13.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13.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13.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13.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13.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13.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13.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13.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13.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13.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13.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13.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13.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13.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13.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13.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13.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13.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13.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13.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13.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13.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13.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13.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13.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13.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13.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13.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13.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13.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13.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13.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13.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13.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13.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13.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13.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13.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13.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13.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13.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13.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13.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13.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13.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13.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13.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13.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13.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13.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13.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13.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13.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13.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13.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13.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13.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13.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13.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13.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13.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13.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13.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13.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13.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13.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13.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13.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13.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13.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13.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13.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13.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13.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13.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13.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13.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13.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13.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13.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13.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13.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13.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13.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13.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13.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13.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13.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13.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13.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13.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13.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13.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13.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13.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13.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13.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13.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13.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13.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13.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13.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13.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13.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13.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13.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13.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13.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13.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13.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13.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13.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13.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13.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13.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13.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13.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13.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13.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13.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13.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13.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13.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13.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13.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13.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13.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13.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13.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13.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13.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13.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13.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13.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13.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13.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13.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13.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13.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13.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13.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13.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13.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13.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13.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13.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13.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13.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13.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13.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13.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13.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13.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13.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13.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13.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13.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13.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13.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13.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13.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13.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13.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13.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13.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13.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13.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13.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13.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13.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13.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13.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13.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13.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13.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13.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13.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13.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13.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13.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13.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13.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13.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13.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13.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13.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13.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13.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13.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13.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13.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13.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13.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13.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13.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13.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13.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13.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13.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13.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13.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13.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13.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13.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13.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13.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13.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13.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13.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13.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13.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13.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13.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13.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13.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13.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13.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13.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13.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13.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13.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13.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13.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13.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13.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13.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13.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13.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13.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13.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13.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13.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13.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13.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13.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13.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13.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13.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13.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13.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13.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13.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13.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13.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13.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13.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13.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13.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13.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13.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13.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13.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13.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13.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13.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13.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13.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13.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13.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13.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13.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13.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13.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13.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13.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13.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13.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13.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13.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13.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13.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26">
    <mergeCell ref="D2:H2"/>
    <mergeCell ref="J2:L2"/>
    <mergeCell ref="D3:H3"/>
    <mergeCell ref="J3:L3"/>
    <mergeCell ref="D4:H4"/>
    <mergeCell ref="J4:L4"/>
    <mergeCell ref="J5:L5"/>
    <mergeCell ref="J9:L9"/>
    <mergeCell ref="J10:L10"/>
    <mergeCell ref="D5:H5"/>
    <mergeCell ref="D6:H6"/>
    <mergeCell ref="D7:H7"/>
    <mergeCell ref="J7:L7"/>
    <mergeCell ref="J8:L8"/>
    <mergeCell ref="D9:H9"/>
    <mergeCell ref="D10:H10"/>
    <mergeCell ref="D16:H16"/>
    <mergeCell ref="D17:H17"/>
    <mergeCell ref="D18:H18"/>
    <mergeCell ref="D11:H11"/>
    <mergeCell ref="J11:L11"/>
    <mergeCell ref="D12:H12"/>
    <mergeCell ref="J12:L12"/>
    <mergeCell ref="D13:H13"/>
    <mergeCell ref="D14:H14"/>
    <mergeCell ref="D15:H15"/>
  </mergeCells>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4">
    <tabColor rgb="FFFF0000"/>
    <pageSetUpPr/>
  </sheetPr>
  <sheetViews>
    <sheetView workbookViewId="0"/>
  </sheetViews>
  <sheetFormatPr customHeight="1" defaultColWidth="14.43" defaultRowHeight="15.0"/>
  <cols>
    <col customWidth="1" min="1" max="1" width="11.57"/>
    <col customWidth="1" min="2" max="2" width="16.71"/>
    <col customWidth="1" min="3" max="3" width="72.71"/>
    <col customWidth="1" min="4" max="4" width="14.0"/>
    <col customWidth="1" min="5" max="26" width="11.57"/>
  </cols>
  <sheetData>
    <row r="1" ht="13.5" customHeight="1">
      <c r="A1" s="3"/>
      <c r="B1" s="51" t="s">
        <v>82</v>
      </c>
      <c r="C1" s="52" t="s">
        <v>83</v>
      </c>
      <c r="D1" s="51" t="s">
        <v>84</v>
      </c>
      <c r="E1" s="3"/>
      <c r="F1" s="3"/>
      <c r="G1" s="3"/>
      <c r="H1" s="3"/>
      <c r="I1" s="3"/>
      <c r="J1" s="3"/>
      <c r="K1" s="3"/>
      <c r="L1" s="3"/>
      <c r="M1" s="3"/>
      <c r="N1" s="3"/>
      <c r="O1" s="3"/>
      <c r="P1" s="3"/>
      <c r="Q1" s="3"/>
      <c r="R1" s="3"/>
      <c r="S1" s="3"/>
      <c r="T1" s="3"/>
      <c r="U1" s="3"/>
      <c r="V1" s="3"/>
      <c r="W1" s="3"/>
      <c r="X1" s="3"/>
      <c r="Y1" s="3"/>
      <c r="Z1" s="3"/>
    </row>
    <row r="2" ht="13.5" customHeight="1">
      <c r="A2" s="3"/>
      <c r="B2" s="3"/>
      <c r="C2" s="53"/>
      <c r="D2" s="3"/>
      <c r="E2" s="3"/>
      <c r="F2" s="3"/>
      <c r="G2" s="3"/>
      <c r="H2" s="3"/>
      <c r="I2" s="3"/>
      <c r="J2" s="3"/>
      <c r="K2" s="3"/>
      <c r="L2" s="3"/>
      <c r="M2" s="3"/>
      <c r="N2" s="3"/>
      <c r="O2" s="3"/>
      <c r="P2" s="3"/>
      <c r="Q2" s="3"/>
      <c r="R2" s="3"/>
      <c r="S2" s="3"/>
      <c r="T2" s="3"/>
      <c r="U2" s="3"/>
      <c r="V2" s="3"/>
      <c r="W2" s="3"/>
      <c r="X2" s="3"/>
      <c r="Y2" s="3"/>
      <c r="Z2" s="3"/>
    </row>
    <row r="3" ht="13.5" customHeight="1">
      <c r="A3" s="54" t="s">
        <v>85</v>
      </c>
      <c r="B3" s="55" t="s">
        <v>86</v>
      </c>
      <c r="C3" s="56" t="s">
        <v>87</v>
      </c>
      <c r="D3" s="57" t="s">
        <v>55</v>
      </c>
      <c r="E3" s="3"/>
      <c r="F3" s="3"/>
      <c r="G3" s="3"/>
      <c r="H3" s="3"/>
      <c r="I3" s="3"/>
      <c r="J3" s="3"/>
      <c r="K3" s="3"/>
      <c r="L3" s="3"/>
      <c r="M3" s="3"/>
      <c r="N3" s="3"/>
      <c r="O3" s="3"/>
      <c r="P3" s="3"/>
      <c r="Q3" s="3"/>
      <c r="R3" s="3"/>
      <c r="S3" s="3"/>
      <c r="T3" s="3"/>
      <c r="U3" s="3"/>
      <c r="V3" s="3"/>
      <c r="W3" s="3"/>
      <c r="X3" s="3"/>
      <c r="Y3" s="3"/>
      <c r="Z3" s="3"/>
    </row>
    <row r="4" ht="13.5" customHeight="1">
      <c r="A4" s="58"/>
      <c r="B4" s="59" t="s">
        <v>88</v>
      </c>
      <c r="C4" s="60" t="s">
        <v>89</v>
      </c>
      <c r="D4" s="61"/>
      <c r="E4" s="3"/>
      <c r="F4" s="3"/>
      <c r="G4" s="3"/>
      <c r="H4" s="3"/>
      <c r="I4" s="3"/>
      <c r="J4" s="3"/>
      <c r="K4" s="3"/>
      <c r="L4" s="3"/>
      <c r="M4" s="3"/>
      <c r="N4" s="3"/>
      <c r="O4" s="3"/>
      <c r="P4" s="3"/>
      <c r="Q4" s="3"/>
      <c r="R4" s="3"/>
      <c r="S4" s="3"/>
      <c r="T4" s="3"/>
      <c r="U4" s="3"/>
      <c r="V4" s="3"/>
      <c r="W4" s="3"/>
      <c r="X4" s="3"/>
      <c r="Y4" s="3"/>
      <c r="Z4" s="3"/>
    </row>
    <row r="5" ht="13.5" customHeight="1">
      <c r="A5" s="62"/>
      <c r="B5" s="63" t="s">
        <v>90</v>
      </c>
      <c r="C5" s="64" t="s">
        <v>91</v>
      </c>
      <c r="D5" s="65" t="s">
        <v>55</v>
      </c>
      <c r="E5" s="3"/>
      <c r="F5" s="3"/>
      <c r="G5" s="3"/>
      <c r="H5" s="3"/>
      <c r="I5" s="3"/>
      <c r="J5" s="3"/>
      <c r="K5" s="3"/>
      <c r="L5" s="3"/>
      <c r="M5" s="3"/>
      <c r="N5" s="3"/>
      <c r="O5" s="3"/>
      <c r="P5" s="3"/>
      <c r="Q5" s="3"/>
      <c r="R5" s="3"/>
      <c r="S5" s="3"/>
      <c r="T5" s="3"/>
      <c r="U5" s="3"/>
      <c r="V5" s="3"/>
      <c r="W5" s="3"/>
      <c r="X5" s="3"/>
      <c r="Y5" s="3"/>
      <c r="Z5" s="3"/>
    </row>
    <row r="6" ht="13.5" customHeight="1">
      <c r="A6" s="66" t="s">
        <v>92</v>
      </c>
      <c r="B6" s="55" t="s">
        <v>93</v>
      </c>
      <c r="C6" s="56" t="s">
        <v>94</v>
      </c>
      <c r="D6" s="67"/>
      <c r="E6" s="3"/>
      <c r="F6" s="3"/>
      <c r="G6" s="3"/>
      <c r="H6" s="3"/>
      <c r="I6" s="3"/>
      <c r="J6" s="3"/>
      <c r="K6" s="3"/>
      <c r="L6" s="3"/>
      <c r="M6" s="3"/>
      <c r="N6" s="3"/>
      <c r="O6" s="3"/>
      <c r="P6" s="3"/>
      <c r="Q6" s="3"/>
      <c r="R6" s="3"/>
      <c r="S6" s="3"/>
      <c r="T6" s="3"/>
      <c r="U6" s="3"/>
      <c r="V6" s="3"/>
      <c r="W6" s="3"/>
      <c r="X6" s="3"/>
      <c r="Y6" s="3"/>
      <c r="Z6" s="3"/>
    </row>
    <row r="7" ht="13.5" customHeight="1">
      <c r="A7" s="58"/>
      <c r="B7" s="59" t="s">
        <v>95</v>
      </c>
      <c r="C7" s="68" t="s">
        <v>96</v>
      </c>
      <c r="D7" s="69"/>
      <c r="E7" s="3"/>
      <c r="F7" s="3"/>
      <c r="G7" s="3"/>
      <c r="H7" s="3"/>
      <c r="I7" s="3"/>
      <c r="J7" s="3"/>
      <c r="K7" s="3"/>
      <c r="L7" s="3"/>
      <c r="M7" s="3"/>
      <c r="N7" s="3"/>
      <c r="O7" s="3"/>
      <c r="P7" s="3"/>
      <c r="Q7" s="3"/>
      <c r="R7" s="3"/>
      <c r="S7" s="3"/>
      <c r="T7" s="3"/>
      <c r="U7" s="3"/>
      <c r="V7" s="3"/>
      <c r="W7" s="3"/>
      <c r="X7" s="3"/>
      <c r="Y7" s="3"/>
      <c r="Z7" s="3"/>
    </row>
    <row r="8" ht="13.5" customHeight="1">
      <c r="A8" s="58"/>
      <c r="B8" s="59" t="s">
        <v>97</v>
      </c>
      <c r="C8" s="68" t="s">
        <v>98</v>
      </c>
      <c r="D8" s="69"/>
      <c r="E8" s="3"/>
      <c r="F8" s="3"/>
      <c r="G8" s="3"/>
      <c r="H8" s="3"/>
      <c r="I8" s="3"/>
      <c r="J8" s="3"/>
      <c r="K8" s="3"/>
      <c r="L8" s="3"/>
      <c r="M8" s="3"/>
      <c r="N8" s="3"/>
      <c r="O8" s="3"/>
      <c r="P8" s="3"/>
      <c r="Q8" s="3"/>
      <c r="R8" s="3"/>
      <c r="S8" s="3"/>
      <c r="T8" s="3"/>
      <c r="U8" s="3"/>
      <c r="V8" s="3"/>
      <c r="W8" s="3"/>
      <c r="X8" s="3"/>
      <c r="Y8" s="3"/>
      <c r="Z8" s="3"/>
    </row>
    <row r="9" ht="13.5" customHeight="1">
      <c r="A9" s="62"/>
      <c r="B9" s="63" t="s">
        <v>99</v>
      </c>
      <c r="C9" s="64" t="s">
        <v>100</v>
      </c>
      <c r="D9" s="70"/>
      <c r="E9" s="3"/>
      <c r="F9" s="3"/>
      <c r="G9" s="3"/>
      <c r="H9" s="3"/>
      <c r="I9" s="3"/>
      <c r="J9" s="3"/>
      <c r="K9" s="3"/>
      <c r="L9" s="3"/>
      <c r="M9" s="3"/>
      <c r="N9" s="3"/>
      <c r="O9" s="3"/>
      <c r="P9" s="3"/>
      <c r="Q9" s="3"/>
      <c r="R9" s="3"/>
      <c r="S9" s="3"/>
      <c r="T9" s="3"/>
      <c r="U9" s="3"/>
      <c r="V9" s="3"/>
      <c r="W9" s="3"/>
      <c r="X9" s="3"/>
      <c r="Y9" s="3"/>
      <c r="Z9" s="3"/>
    </row>
    <row r="10" ht="13.5" customHeight="1">
      <c r="A10" s="71" t="s">
        <v>101</v>
      </c>
      <c r="B10" s="55" t="s">
        <v>102</v>
      </c>
      <c r="C10" s="56" t="s">
        <v>103</v>
      </c>
      <c r="D10" s="72" t="s">
        <v>54</v>
      </c>
      <c r="E10" s="3"/>
      <c r="F10" s="3"/>
      <c r="G10" s="3"/>
      <c r="H10" s="3"/>
      <c r="I10" s="3"/>
      <c r="J10" s="3"/>
      <c r="K10" s="3"/>
      <c r="L10" s="3"/>
      <c r="M10" s="3"/>
      <c r="N10" s="3"/>
      <c r="O10" s="3"/>
      <c r="P10" s="3"/>
      <c r="Q10" s="3"/>
      <c r="R10" s="3"/>
      <c r="S10" s="3"/>
      <c r="T10" s="3"/>
      <c r="U10" s="3"/>
      <c r="V10" s="3"/>
      <c r="W10" s="3"/>
      <c r="X10" s="3"/>
      <c r="Y10" s="3"/>
      <c r="Z10" s="3"/>
    </row>
    <row r="11" ht="13.5" customHeight="1">
      <c r="A11" s="58"/>
      <c r="B11" s="59" t="s">
        <v>104</v>
      </c>
      <c r="C11" s="60" t="s">
        <v>105</v>
      </c>
      <c r="D11" s="73" t="s">
        <v>54</v>
      </c>
      <c r="E11" s="3"/>
      <c r="F11" s="3"/>
      <c r="G11" s="3"/>
      <c r="H11" s="3"/>
      <c r="I11" s="3"/>
      <c r="J11" s="3"/>
      <c r="K11" s="3"/>
      <c r="L11" s="3"/>
      <c r="M11" s="3"/>
      <c r="N11" s="3"/>
      <c r="O11" s="3"/>
      <c r="P11" s="3"/>
      <c r="Q11" s="3"/>
      <c r="R11" s="3"/>
      <c r="S11" s="3"/>
      <c r="T11" s="3"/>
      <c r="U11" s="3"/>
      <c r="V11" s="3"/>
      <c r="W11" s="3"/>
      <c r="X11" s="3"/>
      <c r="Y11" s="3"/>
      <c r="Z11" s="3"/>
    </row>
    <row r="12" ht="13.5" customHeight="1">
      <c r="A12" s="58"/>
      <c r="B12" s="59" t="s">
        <v>106</v>
      </c>
      <c r="C12" s="60" t="s">
        <v>107</v>
      </c>
      <c r="D12" s="73" t="s">
        <v>54</v>
      </c>
      <c r="E12" s="3"/>
      <c r="F12" s="3"/>
      <c r="G12" s="3"/>
      <c r="H12" s="3"/>
      <c r="I12" s="3"/>
      <c r="J12" s="3"/>
      <c r="K12" s="3"/>
      <c r="L12" s="3"/>
      <c r="M12" s="3"/>
      <c r="N12" s="3"/>
      <c r="O12" s="3"/>
      <c r="P12" s="3"/>
      <c r="Q12" s="3"/>
      <c r="R12" s="3"/>
      <c r="S12" s="3"/>
      <c r="T12" s="3"/>
      <c r="U12" s="3"/>
      <c r="V12" s="3"/>
      <c r="W12" s="3"/>
      <c r="X12" s="3"/>
      <c r="Y12" s="3"/>
      <c r="Z12" s="3"/>
    </row>
    <row r="13" ht="13.5" customHeight="1">
      <c r="A13" s="58"/>
      <c r="B13" s="59" t="s">
        <v>108</v>
      </c>
      <c r="C13" s="60" t="s">
        <v>109</v>
      </c>
      <c r="D13" s="73" t="s">
        <v>54</v>
      </c>
      <c r="E13" s="3"/>
      <c r="F13" s="3"/>
      <c r="G13" s="3"/>
      <c r="H13" s="3"/>
      <c r="I13" s="3"/>
      <c r="J13" s="3"/>
      <c r="K13" s="3"/>
      <c r="L13" s="3"/>
      <c r="M13" s="3"/>
      <c r="N13" s="3"/>
      <c r="O13" s="3"/>
      <c r="P13" s="3"/>
      <c r="Q13" s="3"/>
      <c r="R13" s="3"/>
      <c r="S13" s="3"/>
      <c r="T13" s="3"/>
      <c r="U13" s="3"/>
      <c r="V13" s="3"/>
      <c r="W13" s="3"/>
      <c r="X13" s="3"/>
      <c r="Y13" s="3"/>
      <c r="Z13" s="3"/>
    </row>
    <row r="14" ht="13.5" customHeight="1">
      <c r="A14" s="58"/>
      <c r="B14" s="59" t="s">
        <v>110</v>
      </c>
      <c r="C14" s="60" t="s">
        <v>111</v>
      </c>
      <c r="D14" s="73" t="s">
        <v>54</v>
      </c>
      <c r="E14" s="3"/>
      <c r="F14" s="3"/>
      <c r="G14" s="3"/>
      <c r="H14" s="3"/>
      <c r="I14" s="3"/>
      <c r="J14" s="3"/>
      <c r="K14" s="3"/>
      <c r="L14" s="3"/>
      <c r="M14" s="3"/>
      <c r="N14" s="3"/>
      <c r="O14" s="3"/>
      <c r="P14" s="3"/>
      <c r="Q14" s="3"/>
      <c r="R14" s="3"/>
      <c r="S14" s="3"/>
      <c r="T14" s="3"/>
      <c r="U14" s="3"/>
      <c r="V14" s="3"/>
      <c r="W14" s="3"/>
      <c r="X14" s="3"/>
      <c r="Y14" s="3"/>
      <c r="Z14" s="3"/>
    </row>
    <row r="15" ht="13.5" customHeight="1">
      <c r="A15" s="58"/>
      <c r="B15" s="59" t="s">
        <v>112</v>
      </c>
      <c r="C15" s="60" t="s">
        <v>113</v>
      </c>
      <c r="D15" s="73" t="s">
        <v>54</v>
      </c>
      <c r="E15" s="3"/>
      <c r="F15" s="3"/>
      <c r="G15" s="3"/>
      <c r="H15" s="3"/>
      <c r="I15" s="3"/>
      <c r="J15" s="3"/>
      <c r="K15" s="3"/>
      <c r="L15" s="3"/>
      <c r="M15" s="3"/>
      <c r="N15" s="3"/>
      <c r="O15" s="3"/>
      <c r="P15" s="3"/>
      <c r="Q15" s="3"/>
      <c r="R15" s="3"/>
      <c r="S15" s="3"/>
      <c r="T15" s="3"/>
      <c r="U15" s="3"/>
      <c r="V15" s="3"/>
      <c r="W15" s="3"/>
      <c r="X15" s="3"/>
      <c r="Y15" s="3"/>
      <c r="Z15" s="3"/>
    </row>
    <row r="16" ht="13.5" customHeight="1">
      <c r="A16" s="62"/>
      <c r="B16" s="63" t="s">
        <v>114</v>
      </c>
      <c r="C16" s="64" t="s">
        <v>115</v>
      </c>
      <c r="D16" s="74" t="s">
        <v>55</v>
      </c>
      <c r="E16" s="3"/>
      <c r="F16" s="3"/>
      <c r="G16" s="3"/>
      <c r="H16" s="3"/>
      <c r="I16" s="3"/>
      <c r="J16" s="3"/>
      <c r="K16" s="3"/>
      <c r="L16" s="3"/>
      <c r="M16" s="3"/>
      <c r="N16" s="3"/>
      <c r="O16" s="3"/>
      <c r="P16" s="3"/>
      <c r="Q16" s="3"/>
      <c r="R16" s="3"/>
      <c r="S16" s="3"/>
      <c r="T16" s="3"/>
      <c r="U16" s="3"/>
      <c r="V16" s="3"/>
      <c r="W16" s="3"/>
      <c r="X16" s="3"/>
      <c r="Y16" s="3"/>
      <c r="Z16" s="3"/>
    </row>
    <row r="17" ht="13.5" customHeight="1">
      <c r="A17" s="3"/>
      <c r="B17" s="3"/>
      <c r="C17" s="53"/>
      <c r="D17" s="3"/>
      <c r="E17" s="3"/>
      <c r="F17" s="3"/>
      <c r="G17" s="3"/>
      <c r="H17" s="3"/>
      <c r="I17" s="3"/>
      <c r="J17" s="3"/>
      <c r="K17" s="3"/>
      <c r="L17" s="3"/>
      <c r="M17" s="3"/>
      <c r="N17" s="3"/>
      <c r="O17" s="3"/>
      <c r="P17" s="3"/>
      <c r="Q17" s="3"/>
      <c r="R17" s="3"/>
      <c r="S17" s="3"/>
      <c r="T17" s="3"/>
      <c r="U17" s="3"/>
      <c r="V17" s="3"/>
      <c r="W17" s="3"/>
      <c r="X17" s="3"/>
      <c r="Y17" s="3"/>
      <c r="Z17" s="3"/>
    </row>
    <row r="18" ht="13.5" customHeight="1">
      <c r="A18" s="3"/>
      <c r="B18" s="3"/>
      <c r="C18" s="53"/>
      <c r="D18" s="3"/>
      <c r="E18" s="3"/>
      <c r="F18" s="3"/>
      <c r="G18" s="3"/>
      <c r="H18" s="3"/>
      <c r="I18" s="3"/>
      <c r="J18" s="3"/>
      <c r="K18" s="3"/>
      <c r="L18" s="3"/>
      <c r="M18" s="3"/>
      <c r="N18" s="3"/>
      <c r="O18" s="3"/>
      <c r="P18" s="3"/>
      <c r="Q18" s="3"/>
      <c r="R18" s="3"/>
      <c r="S18" s="3"/>
      <c r="T18" s="3"/>
      <c r="U18" s="3"/>
      <c r="V18" s="3"/>
      <c r="W18" s="3"/>
      <c r="X18" s="3"/>
      <c r="Y18" s="3"/>
      <c r="Z18" s="3"/>
    </row>
    <row r="19" ht="13.5" customHeight="1">
      <c r="A19" s="3"/>
      <c r="B19" s="3"/>
      <c r="C19" s="53"/>
      <c r="D19" s="3"/>
      <c r="E19" s="3"/>
      <c r="F19" s="3"/>
      <c r="G19" s="3"/>
      <c r="H19" s="3"/>
      <c r="I19" s="3"/>
      <c r="J19" s="3"/>
      <c r="K19" s="3"/>
      <c r="L19" s="3"/>
      <c r="M19" s="3"/>
      <c r="N19" s="3"/>
      <c r="O19" s="3"/>
      <c r="P19" s="3"/>
      <c r="Q19" s="3"/>
      <c r="R19" s="3"/>
      <c r="S19" s="3"/>
      <c r="T19" s="3"/>
      <c r="U19" s="3"/>
      <c r="V19" s="3"/>
      <c r="W19" s="3"/>
      <c r="X19" s="3"/>
      <c r="Y19" s="3"/>
      <c r="Z19" s="3"/>
    </row>
    <row r="20" ht="13.5" customHeight="1">
      <c r="A20" s="3"/>
      <c r="B20" s="3"/>
      <c r="C20" s="53"/>
      <c r="D20" s="3"/>
      <c r="E20" s="3"/>
      <c r="F20" s="3"/>
      <c r="G20" s="3"/>
      <c r="H20" s="3"/>
      <c r="I20" s="3"/>
      <c r="J20" s="3"/>
      <c r="K20" s="3"/>
      <c r="L20" s="3"/>
      <c r="M20" s="3"/>
      <c r="N20" s="3"/>
      <c r="O20" s="3"/>
      <c r="P20" s="3"/>
      <c r="Q20" s="3"/>
      <c r="R20" s="3"/>
      <c r="S20" s="3"/>
      <c r="T20" s="3"/>
      <c r="U20" s="3"/>
      <c r="V20" s="3"/>
      <c r="W20" s="3"/>
      <c r="X20" s="3"/>
      <c r="Y20" s="3"/>
      <c r="Z20" s="3"/>
    </row>
    <row r="21" ht="13.5" customHeight="1">
      <c r="A21" s="3"/>
      <c r="B21" s="3"/>
      <c r="C21" s="53"/>
      <c r="D21" s="3"/>
      <c r="E21" s="3"/>
      <c r="F21" s="3"/>
      <c r="G21" s="3"/>
      <c r="H21" s="3"/>
      <c r="I21" s="3"/>
      <c r="J21" s="3"/>
      <c r="K21" s="3"/>
      <c r="L21" s="3"/>
      <c r="M21" s="3"/>
      <c r="N21" s="3"/>
      <c r="O21" s="3"/>
      <c r="P21" s="3"/>
      <c r="Q21" s="3"/>
      <c r="R21" s="3"/>
      <c r="S21" s="3"/>
      <c r="T21" s="3"/>
      <c r="U21" s="3"/>
      <c r="V21" s="3"/>
      <c r="W21" s="3"/>
      <c r="X21" s="3"/>
      <c r="Y21" s="3"/>
      <c r="Z21" s="3"/>
    </row>
    <row r="22" ht="13.5" customHeight="1">
      <c r="A22" s="3"/>
      <c r="B22" s="3"/>
      <c r="C22" s="53"/>
      <c r="D22" s="3"/>
      <c r="E22" s="3"/>
      <c r="F22" s="3"/>
      <c r="G22" s="3"/>
      <c r="H22" s="3"/>
      <c r="I22" s="3"/>
      <c r="J22" s="3"/>
      <c r="K22" s="3"/>
      <c r="L22" s="3"/>
      <c r="M22" s="3"/>
      <c r="N22" s="3"/>
      <c r="O22" s="3"/>
      <c r="P22" s="3"/>
      <c r="Q22" s="3"/>
      <c r="R22" s="3"/>
      <c r="S22" s="3"/>
      <c r="T22" s="3"/>
      <c r="U22" s="3"/>
      <c r="V22" s="3"/>
      <c r="W22" s="3"/>
      <c r="X22" s="3"/>
      <c r="Y22" s="3"/>
      <c r="Z22" s="3"/>
    </row>
    <row r="23" ht="13.5" customHeight="1">
      <c r="A23" s="3"/>
      <c r="B23" s="3"/>
      <c r="C23" s="53"/>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53"/>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53"/>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53"/>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53"/>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53"/>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53"/>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53"/>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53"/>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53"/>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53"/>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53"/>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53"/>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53"/>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53"/>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53"/>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53"/>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53"/>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53"/>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53"/>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53"/>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53"/>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53"/>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53"/>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53"/>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53"/>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53"/>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53"/>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53"/>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53"/>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53"/>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53"/>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53"/>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53"/>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53"/>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53"/>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53"/>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53"/>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53"/>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53"/>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53"/>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53"/>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53"/>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53"/>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53"/>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53"/>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53"/>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53"/>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53"/>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53"/>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53"/>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53"/>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53"/>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53"/>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53"/>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53"/>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53"/>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53"/>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53"/>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53"/>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53"/>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53"/>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53"/>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53"/>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53"/>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53"/>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53"/>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53"/>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53"/>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53"/>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53"/>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53"/>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53"/>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53"/>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53"/>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53"/>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53"/>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53"/>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53"/>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53"/>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53"/>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53"/>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53"/>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53"/>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53"/>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53"/>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53"/>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53"/>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53"/>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53"/>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53"/>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53"/>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53"/>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53"/>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53"/>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53"/>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53"/>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53"/>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53"/>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53"/>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53"/>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53"/>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53"/>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53"/>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53"/>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53"/>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53"/>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53"/>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53"/>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53"/>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53"/>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53"/>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53"/>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53"/>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53"/>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53"/>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53"/>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53"/>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53"/>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53"/>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53"/>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53"/>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53"/>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53"/>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53"/>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53"/>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53"/>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53"/>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53"/>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53"/>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53"/>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53"/>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53"/>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53"/>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53"/>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53"/>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53"/>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53"/>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53"/>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53"/>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53"/>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53"/>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53"/>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53"/>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53"/>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53"/>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53"/>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53"/>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53"/>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53"/>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53"/>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53"/>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53"/>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53"/>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53"/>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53"/>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53"/>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53"/>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53"/>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53"/>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53"/>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53"/>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53"/>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53"/>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53"/>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53"/>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53"/>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53"/>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53"/>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53"/>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53"/>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53"/>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53"/>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53"/>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53"/>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53"/>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53"/>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53"/>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53"/>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53"/>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53"/>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53"/>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53"/>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53"/>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53"/>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53"/>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53"/>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53"/>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53"/>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53"/>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53"/>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53"/>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53"/>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53"/>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53"/>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53"/>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53"/>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53"/>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53"/>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53"/>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53"/>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53"/>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53"/>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53"/>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53"/>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53"/>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53"/>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53"/>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53"/>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53"/>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53"/>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53"/>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53"/>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53"/>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53"/>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53"/>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53"/>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53"/>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53"/>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53"/>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53"/>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53"/>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53"/>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53"/>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53"/>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53"/>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53"/>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53"/>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53"/>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53"/>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53"/>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53"/>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53"/>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53"/>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53"/>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53"/>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53"/>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53"/>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53"/>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53"/>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53"/>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53"/>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53"/>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53"/>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53"/>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53"/>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53"/>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53"/>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53"/>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53"/>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53"/>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53"/>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53"/>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53"/>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53"/>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53"/>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53"/>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53"/>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53"/>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53"/>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53"/>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53"/>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53"/>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53"/>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53"/>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53"/>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53"/>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53"/>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53"/>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53"/>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53"/>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53"/>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53"/>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53"/>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53"/>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53"/>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53"/>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53"/>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53"/>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53"/>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53"/>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53"/>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53"/>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53"/>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53"/>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53"/>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53"/>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53"/>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53"/>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53"/>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53"/>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53"/>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53"/>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53"/>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53"/>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53"/>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53"/>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53"/>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53"/>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53"/>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53"/>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53"/>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53"/>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53"/>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53"/>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53"/>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53"/>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53"/>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53"/>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53"/>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53"/>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53"/>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53"/>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53"/>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53"/>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53"/>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53"/>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53"/>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53"/>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53"/>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53"/>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53"/>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53"/>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53"/>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53"/>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53"/>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53"/>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53"/>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53"/>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53"/>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53"/>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53"/>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53"/>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53"/>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53"/>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53"/>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53"/>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53"/>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53"/>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53"/>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53"/>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53"/>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53"/>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53"/>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53"/>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53"/>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53"/>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53"/>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53"/>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53"/>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53"/>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53"/>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53"/>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53"/>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53"/>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53"/>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53"/>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53"/>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53"/>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53"/>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53"/>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53"/>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53"/>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53"/>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53"/>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53"/>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53"/>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53"/>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53"/>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53"/>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53"/>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53"/>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53"/>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53"/>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53"/>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53"/>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53"/>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53"/>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53"/>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53"/>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53"/>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53"/>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53"/>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53"/>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53"/>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53"/>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53"/>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53"/>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53"/>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53"/>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53"/>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53"/>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53"/>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53"/>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53"/>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53"/>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53"/>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53"/>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53"/>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53"/>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53"/>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53"/>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53"/>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53"/>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53"/>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53"/>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53"/>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53"/>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53"/>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53"/>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53"/>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53"/>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53"/>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53"/>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53"/>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53"/>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53"/>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53"/>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53"/>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53"/>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53"/>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53"/>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53"/>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53"/>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53"/>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53"/>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53"/>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53"/>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53"/>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53"/>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53"/>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53"/>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53"/>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53"/>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53"/>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53"/>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53"/>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53"/>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53"/>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53"/>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53"/>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53"/>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53"/>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53"/>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53"/>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53"/>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53"/>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53"/>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53"/>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53"/>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53"/>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53"/>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53"/>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53"/>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53"/>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53"/>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53"/>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53"/>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53"/>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53"/>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53"/>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53"/>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53"/>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53"/>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53"/>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53"/>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53"/>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53"/>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53"/>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53"/>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53"/>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53"/>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53"/>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53"/>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53"/>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53"/>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53"/>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53"/>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53"/>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53"/>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53"/>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53"/>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53"/>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53"/>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53"/>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53"/>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53"/>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53"/>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53"/>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53"/>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53"/>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53"/>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53"/>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53"/>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53"/>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53"/>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53"/>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53"/>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53"/>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53"/>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53"/>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53"/>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53"/>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53"/>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53"/>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53"/>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53"/>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53"/>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53"/>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53"/>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53"/>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53"/>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53"/>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53"/>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53"/>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53"/>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53"/>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53"/>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53"/>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53"/>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53"/>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53"/>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53"/>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53"/>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53"/>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53"/>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53"/>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53"/>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53"/>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53"/>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53"/>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53"/>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53"/>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53"/>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53"/>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53"/>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53"/>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53"/>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53"/>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53"/>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53"/>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53"/>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53"/>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53"/>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53"/>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53"/>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53"/>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53"/>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53"/>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53"/>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53"/>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53"/>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53"/>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53"/>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53"/>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53"/>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53"/>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53"/>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53"/>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53"/>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53"/>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53"/>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53"/>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53"/>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53"/>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53"/>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53"/>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53"/>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53"/>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53"/>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53"/>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53"/>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53"/>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53"/>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53"/>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53"/>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53"/>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53"/>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53"/>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53"/>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53"/>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53"/>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53"/>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53"/>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53"/>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53"/>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53"/>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53"/>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53"/>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53"/>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53"/>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53"/>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53"/>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53"/>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53"/>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53"/>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53"/>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53"/>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53"/>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53"/>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53"/>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53"/>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53"/>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53"/>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53"/>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53"/>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53"/>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53"/>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53"/>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53"/>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53"/>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53"/>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53"/>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53"/>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53"/>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53"/>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53"/>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53"/>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53"/>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53"/>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53"/>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53"/>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53"/>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53"/>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53"/>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53"/>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53"/>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53"/>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53"/>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53"/>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53"/>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53"/>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53"/>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53"/>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53"/>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53"/>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53"/>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53"/>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53"/>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53"/>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53"/>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53"/>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53"/>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53"/>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53"/>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53"/>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53"/>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53"/>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53"/>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53"/>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53"/>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53"/>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53"/>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53"/>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53"/>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53"/>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53"/>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53"/>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53"/>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53"/>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53"/>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53"/>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53"/>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53"/>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53"/>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53"/>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53"/>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53"/>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53"/>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53"/>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53"/>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53"/>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53"/>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53"/>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53"/>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53"/>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53"/>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53"/>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53"/>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53"/>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53"/>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53"/>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53"/>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53"/>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53"/>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53"/>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53"/>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53"/>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53"/>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53"/>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53"/>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53"/>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53"/>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53"/>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53"/>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53"/>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53"/>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53"/>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53"/>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53"/>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53"/>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53"/>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53"/>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53"/>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53"/>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53"/>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53"/>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53"/>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53"/>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53"/>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53"/>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53"/>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53"/>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53"/>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53"/>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53"/>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53"/>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53"/>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53"/>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53"/>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53"/>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53"/>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53"/>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53"/>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53"/>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53"/>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53"/>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53"/>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53"/>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53"/>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53"/>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53"/>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53"/>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53"/>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53"/>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53"/>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53"/>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53"/>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53"/>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53"/>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53"/>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53"/>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53"/>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53"/>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53"/>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53"/>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53"/>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53"/>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53"/>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53"/>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53"/>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53"/>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53"/>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53"/>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53"/>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53"/>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53"/>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53"/>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53"/>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53"/>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53"/>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53"/>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53"/>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53"/>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53"/>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53"/>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53"/>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53"/>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53"/>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53"/>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53"/>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53"/>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53"/>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53"/>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53"/>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53"/>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53"/>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53"/>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53"/>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53"/>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53"/>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53"/>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53"/>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53"/>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53"/>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53"/>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53"/>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53"/>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53"/>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53"/>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53"/>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53"/>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53"/>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53"/>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53"/>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53"/>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53"/>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53"/>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53"/>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53"/>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53"/>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53"/>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53"/>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53"/>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53"/>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53"/>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53"/>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53"/>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53"/>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53"/>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53"/>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53"/>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53"/>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53"/>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53"/>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53"/>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53"/>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53"/>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53"/>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53"/>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53"/>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53"/>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53"/>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53"/>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53"/>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53"/>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53"/>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53"/>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53"/>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53"/>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53"/>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53"/>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53"/>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53"/>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53"/>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53"/>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53"/>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53"/>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53"/>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53"/>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53"/>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53"/>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53"/>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53"/>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53"/>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53"/>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53"/>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53"/>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53"/>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53"/>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53"/>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53"/>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53"/>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53"/>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53"/>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53"/>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53"/>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53"/>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53"/>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53"/>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53"/>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53"/>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53"/>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53"/>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53"/>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53"/>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53"/>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53"/>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53"/>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53"/>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53"/>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53"/>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53"/>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53"/>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53"/>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53"/>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53"/>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53"/>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53"/>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53"/>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53"/>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53"/>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53"/>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53"/>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53"/>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53"/>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53"/>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53"/>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53"/>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53"/>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53"/>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53"/>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53"/>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53"/>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53"/>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53"/>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53"/>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53"/>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53"/>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53"/>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53"/>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53"/>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53"/>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53"/>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53"/>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53"/>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53"/>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53"/>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53"/>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53"/>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53"/>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53"/>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53"/>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53"/>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53"/>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53"/>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53"/>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53"/>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53"/>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53"/>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53"/>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53"/>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53"/>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53"/>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53"/>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53"/>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53"/>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53"/>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53"/>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53"/>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53"/>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53"/>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53"/>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53"/>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53"/>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53"/>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53"/>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53"/>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53"/>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53"/>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53"/>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53"/>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53"/>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53"/>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53"/>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53"/>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53"/>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53"/>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53"/>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53"/>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53"/>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53"/>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53"/>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53"/>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53"/>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53"/>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53"/>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53"/>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53"/>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53"/>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53"/>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53"/>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53"/>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53"/>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53"/>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53"/>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53"/>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53"/>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53"/>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53"/>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53"/>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53"/>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53"/>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53"/>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53"/>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53"/>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53"/>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5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3">
    <mergeCell ref="A3:A5"/>
    <mergeCell ref="A6:A9"/>
    <mergeCell ref="A10:A16"/>
  </mergeCells>
  <dataValidations>
    <dataValidation type="list" allowBlank="1" showErrorMessage="1" sqref="D2:D16">
      <formula1>'Tablas AR'!$A$18:$A$19</formula1>
    </dataValidation>
  </dataValidation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6">
    <tabColor rgb="FF1F497D"/>
    <pageSetUpPr/>
  </sheetPr>
  <sheetViews>
    <sheetView workbookViewId="0">
      <pane xSplit="1.0" ySplit="1.0" topLeftCell="B2" activePane="bottomRight" state="frozen"/>
      <selection activeCell="B1" sqref="B1" pane="topRight"/>
      <selection activeCell="A2" sqref="A2" pane="bottomLeft"/>
      <selection activeCell="B2" sqref="B2" pane="bottomRight"/>
    </sheetView>
  </sheetViews>
  <sheetFormatPr customHeight="1" defaultColWidth="14.43" defaultRowHeight="15.0"/>
  <cols>
    <col customWidth="1" min="1" max="1" width="64.86"/>
    <col customWidth="1" min="2" max="26" width="10.71"/>
  </cols>
  <sheetData>
    <row r="1" ht="14.25" customHeight="1">
      <c r="A1" s="75" t="s">
        <v>116</v>
      </c>
      <c r="B1" s="75" t="s">
        <v>86</v>
      </c>
      <c r="C1" s="75" t="s">
        <v>88</v>
      </c>
      <c r="D1" s="75" t="s">
        <v>90</v>
      </c>
      <c r="E1" s="75" t="s">
        <v>93</v>
      </c>
      <c r="F1" s="75" t="s">
        <v>95</v>
      </c>
      <c r="G1" s="75" t="s">
        <v>97</v>
      </c>
      <c r="H1" s="75" t="s">
        <v>99</v>
      </c>
      <c r="I1" s="75" t="s">
        <v>102</v>
      </c>
      <c r="J1" s="75" t="s">
        <v>104</v>
      </c>
      <c r="K1" s="75" t="s">
        <v>106</v>
      </c>
      <c r="L1" s="75" t="s">
        <v>108</v>
      </c>
      <c r="M1" s="75" t="s">
        <v>110</v>
      </c>
      <c r="N1" s="75" t="s">
        <v>112</v>
      </c>
      <c r="O1" s="75" t="s">
        <v>114</v>
      </c>
    </row>
    <row r="2" ht="14.25" customHeight="1">
      <c r="A2" s="45" t="s">
        <v>57</v>
      </c>
      <c r="B2" s="76"/>
      <c r="C2" s="76"/>
      <c r="D2" s="76"/>
      <c r="E2" s="76"/>
      <c r="F2" s="76"/>
      <c r="G2" s="76"/>
      <c r="H2" s="76"/>
      <c r="I2" s="77" t="s">
        <v>54</v>
      </c>
      <c r="J2" s="77" t="s">
        <v>54</v>
      </c>
      <c r="K2" s="77" t="s">
        <v>54</v>
      </c>
      <c r="L2" s="77" t="s">
        <v>55</v>
      </c>
      <c r="M2" s="77" t="s">
        <v>54</v>
      </c>
      <c r="N2" s="77" t="s">
        <v>55</v>
      </c>
      <c r="O2" s="76"/>
      <c r="P2" s="75"/>
      <c r="Q2" s="75"/>
      <c r="R2" s="75"/>
      <c r="S2" s="75"/>
      <c r="T2" s="75"/>
      <c r="U2" s="75"/>
      <c r="V2" s="75"/>
      <c r="W2" s="75"/>
      <c r="X2" s="75"/>
      <c r="Y2" s="75"/>
      <c r="Z2" s="75"/>
    </row>
    <row r="3" ht="14.25" customHeight="1">
      <c r="A3" s="45" t="s">
        <v>59</v>
      </c>
      <c r="B3" s="76"/>
      <c r="C3" s="76"/>
      <c r="D3" s="76"/>
      <c r="E3" s="76"/>
      <c r="F3" s="76"/>
      <c r="G3" s="76"/>
      <c r="H3" s="76"/>
      <c r="I3" s="77" t="s">
        <v>54</v>
      </c>
      <c r="J3" s="77" t="s">
        <v>54</v>
      </c>
      <c r="K3" s="77" t="s">
        <v>54</v>
      </c>
      <c r="L3" s="77" t="s">
        <v>55</v>
      </c>
      <c r="M3" s="77" t="s">
        <v>54</v>
      </c>
      <c r="N3" s="77" t="s">
        <v>55</v>
      </c>
      <c r="O3" s="76"/>
      <c r="P3" s="75"/>
      <c r="Q3" s="75"/>
      <c r="R3" s="75"/>
      <c r="S3" s="75"/>
      <c r="T3" s="75"/>
      <c r="U3" s="75"/>
      <c r="V3" s="75"/>
      <c r="W3" s="75"/>
      <c r="X3" s="75"/>
      <c r="Y3" s="75"/>
      <c r="Z3" s="75"/>
    </row>
    <row r="4" ht="14.25" customHeight="1">
      <c r="A4" s="45" t="s">
        <v>62</v>
      </c>
      <c r="B4" s="76"/>
      <c r="C4" s="76"/>
      <c r="D4" s="76"/>
      <c r="E4" s="76"/>
      <c r="F4" s="76"/>
      <c r="G4" s="76"/>
      <c r="H4" s="76"/>
      <c r="I4" s="77" t="s">
        <v>54</v>
      </c>
      <c r="J4" s="77" t="s">
        <v>54</v>
      </c>
      <c r="K4" s="77" t="s">
        <v>54</v>
      </c>
      <c r="L4" s="77" t="s">
        <v>55</v>
      </c>
      <c r="M4" s="77" t="s">
        <v>54</v>
      </c>
      <c r="N4" s="77" t="s">
        <v>55</v>
      </c>
      <c r="O4" s="76"/>
      <c r="P4" s="75"/>
      <c r="Q4" s="75"/>
      <c r="R4" s="75"/>
      <c r="S4" s="75"/>
      <c r="T4" s="75"/>
      <c r="U4" s="75"/>
      <c r="V4" s="75"/>
      <c r="W4" s="75"/>
      <c r="X4" s="75"/>
      <c r="Y4" s="75"/>
      <c r="Z4" s="75"/>
    </row>
    <row r="5" ht="14.25" customHeight="1">
      <c r="A5" s="48" t="s">
        <v>25</v>
      </c>
      <c r="B5" s="76"/>
      <c r="C5" s="76"/>
      <c r="D5" s="76"/>
      <c r="E5" s="76"/>
      <c r="F5" s="76"/>
      <c r="G5" s="76"/>
      <c r="H5" s="76"/>
      <c r="I5" s="77" t="s">
        <v>54</v>
      </c>
      <c r="J5" s="77" t="s">
        <v>54</v>
      </c>
      <c r="K5" s="77" t="s">
        <v>54</v>
      </c>
      <c r="L5" s="77" t="s">
        <v>54</v>
      </c>
      <c r="M5" s="77" t="s">
        <v>54</v>
      </c>
      <c r="N5" s="77" t="s">
        <v>54</v>
      </c>
      <c r="O5" s="76"/>
      <c r="P5" s="75"/>
      <c r="Q5" s="75"/>
      <c r="R5" s="75"/>
      <c r="S5" s="75"/>
      <c r="T5" s="75"/>
      <c r="U5" s="75"/>
      <c r="V5" s="75"/>
      <c r="W5" s="75"/>
      <c r="X5" s="75"/>
      <c r="Y5" s="75"/>
      <c r="Z5" s="75"/>
    </row>
    <row r="6" ht="14.25" customHeight="1">
      <c r="A6" s="48" t="s">
        <v>67</v>
      </c>
      <c r="B6" s="76"/>
      <c r="C6" s="76"/>
      <c r="D6" s="76"/>
      <c r="E6" s="76"/>
      <c r="F6" s="76"/>
      <c r="G6" s="76"/>
      <c r="H6" s="76"/>
      <c r="I6" s="77" t="s">
        <v>54</v>
      </c>
      <c r="J6" s="77" t="s">
        <v>54</v>
      </c>
      <c r="K6" s="77" t="s">
        <v>54</v>
      </c>
      <c r="L6" s="77" t="s">
        <v>54</v>
      </c>
      <c r="M6" s="77" t="s">
        <v>54</v>
      </c>
      <c r="N6" s="77" t="s">
        <v>54</v>
      </c>
      <c r="O6" s="76"/>
      <c r="P6" s="75"/>
      <c r="Q6" s="75"/>
      <c r="R6" s="75"/>
      <c r="S6" s="75"/>
      <c r="T6" s="75"/>
      <c r="U6" s="75"/>
      <c r="V6" s="75"/>
      <c r="W6" s="75"/>
      <c r="X6" s="75"/>
      <c r="Y6" s="75"/>
      <c r="Z6" s="75"/>
    </row>
    <row r="7" ht="14.25" customHeight="1">
      <c r="A7" s="48" t="s">
        <v>69</v>
      </c>
      <c r="B7" s="76"/>
      <c r="C7" s="76"/>
      <c r="D7" s="76"/>
      <c r="E7" s="76"/>
      <c r="F7" s="76"/>
      <c r="G7" s="76"/>
      <c r="H7" s="76"/>
      <c r="I7" s="77" t="s">
        <v>54</v>
      </c>
      <c r="J7" s="77" t="s">
        <v>55</v>
      </c>
      <c r="K7" s="77" t="s">
        <v>54</v>
      </c>
      <c r="L7" s="77" t="s">
        <v>54</v>
      </c>
      <c r="M7" s="77" t="s">
        <v>54</v>
      </c>
      <c r="N7" s="77" t="s">
        <v>54</v>
      </c>
      <c r="O7" s="76"/>
      <c r="P7" s="75"/>
      <c r="Q7" s="75"/>
      <c r="R7" s="75"/>
      <c r="S7" s="75"/>
      <c r="T7" s="75"/>
      <c r="U7" s="75"/>
      <c r="V7" s="75"/>
      <c r="W7" s="75"/>
      <c r="X7" s="75"/>
      <c r="Y7" s="75"/>
      <c r="Z7" s="75"/>
    </row>
    <row r="8" ht="14.25" customHeight="1">
      <c r="A8" s="48" t="s">
        <v>71</v>
      </c>
      <c r="B8" s="76"/>
      <c r="C8" s="76"/>
      <c r="D8" s="76"/>
      <c r="E8" s="76"/>
      <c r="F8" s="76"/>
      <c r="G8" s="76"/>
      <c r="H8" s="76"/>
      <c r="I8" s="77" t="s">
        <v>54</v>
      </c>
      <c r="J8" s="77" t="s">
        <v>55</v>
      </c>
      <c r="K8" s="77" t="s">
        <v>54</v>
      </c>
      <c r="L8" s="77" t="s">
        <v>54</v>
      </c>
      <c r="M8" s="77" t="s">
        <v>54</v>
      </c>
      <c r="N8" s="77" t="s">
        <v>54</v>
      </c>
      <c r="O8" s="76"/>
      <c r="P8" s="75"/>
      <c r="Q8" s="75"/>
      <c r="R8" s="75"/>
      <c r="S8" s="75"/>
      <c r="T8" s="75"/>
      <c r="U8" s="75"/>
      <c r="V8" s="75"/>
      <c r="W8" s="75"/>
      <c r="X8" s="75"/>
      <c r="Y8" s="75"/>
      <c r="Z8" s="75"/>
    </row>
    <row r="9" ht="14.25" customHeight="1">
      <c r="A9" s="48" t="s">
        <v>74</v>
      </c>
      <c r="B9" s="76"/>
      <c r="C9" s="76"/>
      <c r="D9" s="76"/>
      <c r="E9" s="76"/>
      <c r="F9" s="76"/>
      <c r="G9" s="76"/>
      <c r="H9" s="76"/>
      <c r="I9" s="77" t="s">
        <v>54</v>
      </c>
      <c r="J9" s="77" t="s">
        <v>55</v>
      </c>
      <c r="K9" s="77" t="s">
        <v>54</v>
      </c>
      <c r="L9" s="77" t="s">
        <v>54</v>
      </c>
      <c r="M9" s="77" t="s">
        <v>54</v>
      </c>
      <c r="N9" s="77" t="s">
        <v>54</v>
      </c>
      <c r="O9" s="76"/>
      <c r="P9" s="75"/>
      <c r="Q9" s="75"/>
      <c r="R9" s="75"/>
      <c r="S9" s="75"/>
      <c r="T9" s="75"/>
      <c r="U9" s="75"/>
      <c r="V9" s="75"/>
      <c r="W9" s="75"/>
      <c r="X9" s="75"/>
      <c r="Y9" s="75"/>
      <c r="Z9" s="75"/>
    </row>
    <row r="10" ht="14.25" customHeight="1">
      <c r="A10" s="48" t="s">
        <v>77</v>
      </c>
      <c r="B10" s="76"/>
      <c r="C10" s="76"/>
      <c r="D10" s="76"/>
      <c r="E10" s="76"/>
      <c r="F10" s="76"/>
      <c r="G10" s="76"/>
      <c r="H10" s="76"/>
      <c r="I10" s="77" t="s">
        <v>54</v>
      </c>
      <c r="J10" s="77" t="s">
        <v>54</v>
      </c>
      <c r="K10" s="77" t="s">
        <v>54</v>
      </c>
      <c r="L10" s="77" t="s">
        <v>54</v>
      </c>
      <c r="M10" s="77" t="s">
        <v>54</v>
      </c>
      <c r="N10" s="77" t="s">
        <v>54</v>
      </c>
      <c r="O10" s="76"/>
      <c r="P10" s="75"/>
      <c r="Q10" s="75"/>
      <c r="R10" s="75"/>
      <c r="S10" s="75"/>
      <c r="T10" s="75"/>
      <c r="U10" s="75"/>
      <c r="V10" s="75"/>
      <c r="W10" s="75"/>
      <c r="X10" s="75"/>
      <c r="Y10" s="75"/>
      <c r="Z10" s="75"/>
    </row>
    <row r="11" ht="14.25" customHeight="1">
      <c r="A11" s="78" t="s">
        <v>31</v>
      </c>
      <c r="B11" s="76"/>
      <c r="C11" s="76"/>
      <c r="D11" s="76"/>
      <c r="E11" s="76"/>
      <c r="F11" s="76"/>
      <c r="G11" s="76"/>
      <c r="H11" s="76"/>
      <c r="I11" s="77" t="s">
        <v>54</v>
      </c>
      <c r="J11" s="77" t="s">
        <v>54</v>
      </c>
      <c r="K11" s="77" t="s">
        <v>54</v>
      </c>
      <c r="L11" s="77" t="s">
        <v>54</v>
      </c>
      <c r="M11" s="77" t="s">
        <v>54</v>
      </c>
      <c r="N11" s="77" t="s">
        <v>55</v>
      </c>
      <c r="O11" s="76"/>
      <c r="P11" s="75"/>
      <c r="Q11" s="75"/>
      <c r="R11" s="75"/>
      <c r="S11" s="75"/>
      <c r="T11" s="75"/>
      <c r="U11" s="75"/>
      <c r="V11" s="75"/>
      <c r="W11" s="75"/>
      <c r="X11" s="75"/>
      <c r="Y11" s="75"/>
      <c r="Z11" s="75"/>
    </row>
    <row r="12" ht="14.25" customHeight="1">
      <c r="A12" s="78" t="s">
        <v>60</v>
      </c>
      <c r="B12" s="76"/>
      <c r="C12" s="76"/>
      <c r="D12" s="76"/>
      <c r="E12" s="76"/>
      <c r="F12" s="76"/>
      <c r="G12" s="76"/>
      <c r="H12" s="76"/>
      <c r="I12" s="77" t="s">
        <v>54</v>
      </c>
      <c r="J12" s="79" t="s">
        <v>54</v>
      </c>
      <c r="K12" s="77" t="s">
        <v>54</v>
      </c>
      <c r="L12" s="77" t="s">
        <v>55</v>
      </c>
      <c r="M12" s="77" t="s">
        <v>55</v>
      </c>
      <c r="N12" s="77" t="s">
        <v>55</v>
      </c>
      <c r="O12" s="76"/>
      <c r="P12" s="75"/>
      <c r="Q12" s="75"/>
      <c r="R12" s="75"/>
      <c r="S12" s="75"/>
      <c r="T12" s="75"/>
      <c r="U12" s="75"/>
      <c r="V12" s="75"/>
      <c r="W12" s="75"/>
      <c r="X12" s="75"/>
      <c r="Y12" s="75"/>
      <c r="Z12" s="75"/>
    </row>
    <row r="13" ht="14.25" customHeight="1">
      <c r="A13" s="78" t="s">
        <v>63</v>
      </c>
      <c r="B13" s="76"/>
      <c r="C13" s="76"/>
      <c r="D13" s="76"/>
      <c r="E13" s="76"/>
      <c r="F13" s="76"/>
      <c r="G13" s="76"/>
      <c r="H13" s="76"/>
      <c r="I13" s="77" t="s">
        <v>54</v>
      </c>
      <c r="J13" s="77" t="s">
        <v>54</v>
      </c>
      <c r="K13" s="77" t="s">
        <v>54</v>
      </c>
      <c r="L13" s="77" t="s">
        <v>54</v>
      </c>
      <c r="M13" s="77" t="s">
        <v>54</v>
      </c>
      <c r="N13" s="77" t="s">
        <v>54</v>
      </c>
      <c r="O13" s="76"/>
      <c r="P13" s="75"/>
      <c r="Q13" s="75"/>
      <c r="R13" s="75"/>
      <c r="S13" s="75"/>
      <c r="T13" s="75"/>
      <c r="U13" s="75"/>
      <c r="V13" s="75"/>
      <c r="W13" s="75"/>
      <c r="X13" s="75"/>
      <c r="Y13" s="75"/>
      <c r="Z13" s="75"/>
    </row>
    <row r="14" ht="14.25" customHeight="1">
      <c r="A14" s="78" t="s">
        <v>65</v>
      </c>
      <c r="B14" s="76"/>
      <c r="C14" s="76"/>
      <c r="D14" s="76"/>
      <c r="E14" s="76"/>
      <c r="F14" s="76"/>
      <c r="G14" s="76"/>
      <c r="H14" s="76"/>
      <c r="I14" s="77" t="s">
        <v>54</v>
      </c>
      <c r="J14" s="77" t="s">
        <v>54</v>
      </c>
      <c r="K14" s="77" t="s">
        <v>54</v>
      </c>
      <c r="L14" s="77" t="s">
        <v>55</v>
      </c>
      <c r="M14" s="77" t="s">
        <v>54</v>
      </c>
      <c r="N14" s="77" t="s">
        <v>55</v>
      </c>
      <c r="O14" s="76"/>
      <c r="P14" s="75"/>
      <c r="Q14" s="75"/>
      <c r="R14" s="75"/>
      <c r="S14" s="75"/>
      <c r="T14" s="75"/>
      <c r="U14" s="75"/>
      <c r="V14" s="75"/>
      <c r="W14" s="75"/>
      <c r="X14" s="75"/>
      <c r="Y14" s="75"/>
      <c r="Z14" s="75"/>
    </row>
    <row r="15" ht="14.25" customHeight="1">
      <c r="A15" s="78" t="s">
        <v>66</v>
      </c>
      <c r="B15" s="76"/>
      <c r="C15" s="76"/>
      <c r="D15" s="76"/>
      <c r="E15" s="76"/>
      <c r="F15" s="76"/>
      <c r="G15" s="76"/>
      <c r="H15" s="76"/>
      <c r="I15" s="77" t="s">
        <v>54</v>
      </c>
      <c r="J15" s="77" t="s">
        <v>54</v>
      </c>
      <c r="K15" s="77" t="s">
        <v>54</v>
      </c>
      <c r="L15" s="77" t="s">
        <v>55</v>
      </c>
      <c r="M15" s="77" t="s">
        <v>54</v>
      </c>
      <c r="N15" s="77" t="s">
        <v>55</v>
      </c>
      <c r="O15" s="76"/>
      <c r="P15" s="75"/>
      <c r="Q15" s="75"/>
      <c r="R15" s="75"/>
      <c r="S15" s="75"/>
      <c r="T15" s="75"/>
      <c r="U15" s="75"/>
      <c r="V15" s="75"/>
      <c r="W15" s="75"/>
      <c r="X15" s="75"/>
      <c r="Y15" s="75"/>
      <c r="Z15" s="75"/>
    </row>
    <row r="16" ht="14.25" customHeight="1">
      <c r="A16" s="80" t="s">
        <v>26</v>
      </c>
      <c r="B16" s="76"/>
      <c r="C16" s="76"/>
      <c r="D16" s="76"/>
      <c r="E16" s="76"/>
      <c r="F16" s="76"/>
      <c r="G16" s="76"/>
      <c r="H16" s="76"/>
      <c r="I16" s="77" t="s">
        <v>54</v>
      </c>
      <c r="J16" s="77" t="s">
        <v>55</v>
      </c>
      <c r="K16" s="77" t="s">
        <v>54</v>
      </c>
      <c r="L16" s="77" t="s">
        <v>54</v>
      </c>
      <c r="M16" s="77" t="s">
        <v>54</v>
      </c>
      <c r="N16" s="77" t="s">
        <v>55</v>
      </c>
      <c r="O16" s="76"/>
      <c r="P16" s="75"/>
      <c r="Q16" s="75"/>
      <c r="R16" s="75"/>
      <c r="S16" s="75"/>
      <c r="T16" s="75"/>
      <c r="U16" s="75"/>
      <c r="V16" s="75"/>
      <c r="W16" s="75"/>
      <c r="X16" s="75"/>
      <c r="Y16" s="75"/>
      <c r="Z16" s="75"/>
    </row>
    <row r="17" ht="14.25" customHeight="1">
      <c r="A17" s="80" t="s">
        <v>72</v>
      </c>
      <c r="B17" s="76"/>
      <c r="C17" s="76"/>
      <c r="D17" s="76"/>
      <c r="E17" s="76"/>
      <c r="F17" s="76"/>
      <c r="G17" s="76"/>
      <c r="H17" s="76"/>
      <c r="I17" s="77" t="s">
        <v>54</v>
      </c>
      <c r="J17" s="76"/>
      <c r="K17" s="77" t="s">
        <v>54</v>
      </c>
      <c r="L17" s="77" t="s">
        <v>54</v>
      </c>
      <c r="M17" s="77" t="s">
        <v>54</v>
      </c>
      <c r="N17" s="77" t="s">
        <v>55</v>
      </c>
      <c r="O17" s="76"/>
      <c r="P17" s="75"/>
      <c r="Q17" s="75"/>
      <c r="R17" s="75"/>
      <c r="S17" s="75"/>
      <c r="T17" s="75"/>
      <c r="U17" s="75"/>
      <c r="V17" s="75"/>
      <c r="W17" s="75"/>
      <c r="X17" s="75"/>
      <c r="Y17" s="75"/>
      <c r="Z17" s="75"/>
    </row>
    <row r="18" ht="14.25" customHeight="1">
      <c r="A18" s="80" t="s">
        <v>75</v>
      </c>
      <c r="B18" s="76"/>
      <c r="C18" s="76"/>
      <c r="D18" s="76"/>
      <c r="E18" s="76"/>
      <c r="F18" s="76"/>
      <c r="G18" s="76"/>
      <c r="H18" s="76"/>
      <c r="I18" s="77" t="s">
        <v>54</v>
      </c>
      <c r="J18" s="77" t="s">
        <v>55</v>
      </c>
      <c r="K18" s="77" t="s">
        <v>54</v>
      </c>
      <c r="L18" s="77" t="s">
        <v>54</v>
      </c>
      <c r="M18" s="77" t="s">
        <v>54</v>
      </c>
      <c r="N18" s="77" t="s">
        <v>55</v>
      </c>
      <c r="O18" s="76"/>
      <c r="P18" s="75"/>
      <c r="Q18" s="75"/>
      <c r="R18" s="75"/>
      <c r="S18" s="75"/>
      <c r="T18" s="75"/>
      <c r="U18" s="75"/>
      <c r="V18" s="75"/>
      <c r="W18" s="75"/>
      <c r="X18" s="75"/>
      <c r="Y18" s="75"/>
      <c r="Z18" s="75"/>
    </row>
    <row r="19" ht="14.25" customHeight="1">
      <c r="A19" s="80" t="s">
        <v>78</v>
      </c>
      <c r="B19" s="76"/>
      <c r="C19" s="76"/>
      <c r="D19" s="76"/>
      <c r="E19" s="76"/>
      <c r="F19" s="76"/>
      <c r="G19" s="76"/>
      <c r="H19" s="76"/>
      <c r="I19" s="77" t="s">
        <v>54</v>
      </c>
      <c r="J19" s="77" t="s">
        <v>55</v>
      </c>
      <c r="K19" s="77" t="s">
        <v>54</v>
      </c>
      <c r="L19" s="77" t="s">
        <v>54</v>
      </c>
      <c r="M19" s="77" t="s">
        <v>54</v>
      </c>
      <c r="N19" s="77" t="s">
        <v>55</v>
      </c>
      <c r="O19" s="76"/>
      <c r="P19" s="75"/>
      <c r="Q19" s="75"/>
      <c r="R19" s="75"/>
      <c r="S19" s="75"/>
      <c r="T19" s="75"/>
      <c r="U19" s="75"/>
      <c r="V19" s="75"/>
      <c r="W19" s="75"/>
      <c r="X19" s="75"/>
      <c r="Y19" s="75"/>
      <c r="Z19" s="75"/>
    </row>
    <row r="20" ht="14.25" customHeight="1">
      <c r="A20" s="80" t="s">
        <v>28</v>
      </c>
      <c r="B20" s="76"/>
      <c r="C20" s="76"/>
      <c r="D20" s="76"/>
      <c r="E20" s="76"/>
      <c r="F20" s="76"/>
      <c r="G20" s="76"/>
      <c r="H20" s="76"/>
      <c r="I20" s="77" t="s">
        <v>54</v>
      </c>
      <c r="J20" s="77" t="s">
        <v>54</v>
      </c>
      <c r="K20" s="77" t="s">
        <v>54</v>
      </c>
      <c r="L20" s="77" t="s">
        <v>55</v>
      </c>
      <c r="M20" s="77" t="s">
        <v>54</v>
      </c>
      <c r="N20" s="77" t="s">
        <v>55</v>
      </c>
      <c r="O20" s="76"/>
      <c r="P20" s="75"/>
      <c r="Q20" s="75"/>
      <c r="R20" s="75"/>
      <c r="S20" s="75"/>
      <c r="T20" s="75"/>
      <c r="U20" s="75"/>
      <c r="V20" s="75"/>
      <c r="W20" s="75"/>
      <c r="X20" s="75"/>
      <c r="Y20" s="75"/>
      <c r="Z20" s="75"/>
    </row>
    <row r="21" ht="14.25" customHeight="1">
      <c r="A21" s="80" t="s">
        <v>79</v>
      </c>
      <c r="B21" s="76"/>
      <c r="C21" s="76"/>
      <c r="D21" s="76"/>
      <c r="E21" s="76"/>
      <c r="F21" s="76"/>
      <c r="G21" s="76"/>
      <c r="H21" s="76"/>
      <c r="I21" s="77" t="s">
        <v>54</v>
      </c>
      <c r="J21" s="77" t="s">
        <v>54</v>
      </c>
      <c r="K21" s="77" t="s">
        <v>54</v>
      </c>
      <c r="L21" s="77" t="s">
        <v>55</v>
      </c>
      <c r="M21" s="77" t="s">
        <v>54</v>
      </c>
      <c r="N21" s="77" t="s">
        <v>55</v>
      </c>
      <c r="O21" s="76"/>
      <c r="P21" s="75"/>
      <c r="Q21" s="75"/>
      <c r="R21" s="75"/>
      <c r="S21" s="75"/>
      <c r="T21" s="75"/>
      <c r="U21" s="75"/>
      <c r="V21" s="75"/>
      <c r="W21" s="75"/>
      <c r="X21" s="75"/>
      <c r="Y21" s="75"/>
      <c r="Z21" s="75"/>
    </row>
    <row r="22" ht="14.25" customHeight="1">
      <c r="A22" s="80" t="s">
        <v>70</v>
      </c>
      <c r="B22" s="76"/>
      <c r="C22" s="76"/>
      <c r="D22" s="76"/>
      <c r="E22" s="76"/>
      <c r="F22" s="76"/>
      <c r="G22" s="76"/>
      <c r="H22" s="76"/>
      <c r="I22" s="77" t="s">
        <v>55</v>
      </c>
      <c r="J22" s="77" t="s">
        <v>55</v>
      </c>
      <c r="K22" s="77" t="s">
        <v>55</v>
      </c>
      <c r="L22" s="77" t="s">
        <v>55</v>
      </c>
      <c r="M22" s="77" t="s">
        <v>54</v>
      </c>
      <c r="N22" s="77" t="s">
        <v>55</v>
      </c>
      <c r="O22" s="76"/>
      <c r="P22" s="75"/>
      <c r="Q22" s="75"/>
      <c r="R22" s="75"/>
      <c r="S22" s="75"/>
      <c r="T22" s="75"/>
      <c r="U22" s="75"/>
      <c r="V22" s="75"/>
      <c r="W22" s="75"/>
      <c r="X22" s="75"/>
      <c r="Y22" s="75"/>
      <c r="Z22" s="75"/>
    </row>
    <row r="23" ht="14.25" customHeight="1">
      <c r="A23" s="80" t="s">
        <v>80</v>
      </c>
      <c r="B23" s="76"/>
      <c r="C23" s="76"/>
      <c r="D23" s="76"/>
      <c r="E23" s="76"/>
      <c r="F23" s="76"/>
      <c r="G23" s="76"/>
      <c r="H23" s="76"/>
      <c r="I23" s="77" t="s">
        <v>54</v>
      </c>
      <c r="J23" s="77" t="s">
        <v>55</v>
      </c>
      <c r="K23" s="77" t="s">
        <v>54</v>
      </c>
      <c r="L23" s="77" t="s">
        <v>54</v>
      </c>
      <c r="M23" s="77" t="s">
        <v>54</v>
      </c>
      <c r="N23" s="77" t="s">
        <v>54</v>
      </c>
      <c r="O23" s="76"/>
      <c r="P23" s="75"/>
      <c r="Q23" s="75"/>
      <c r="R23" s="75"/>
      <c r="S23" s="75"/>
      <c r="T23" s="75"/>
      <c r="U23" s="75"/>
      <c r="V23" s="75"/>
      <c r="W23" s="75"/>
      <c r="X23" s="75"/>
      <c r="Y23" s="75"/>
      <c r="Z23" s="75"/>
    </row>
    <row r="24" ht="14.25" customHeight="1">
      <c r="A24" s="80" t="s">
        <v>81</v>
      </c>
      <c r="B24" s="76"/>
      <c r="C24" s="76"/>
      <c r="D24" s="76"/>
      <c r="E24" s="76"/>
      <c r="F24" s="76"/>
      <c r="G24" s="76"/>
      <c r="H24" s="76"/>
      <c r="I24" s="77" t="s">
        <v>54</v>
      </c>
      <c r="J24" s="77" t="s">
        <v>54</v>
      </c>
      <c r="K24" s="77" t="s">
        <v>54</v>
      </c>
      <c r="L24" s="77" t="s">
        <v>54</v>
      </c>
      <c r="M24" s="77" t="s">
        <v>54</v>
      </c>
      <c r="N24" s="77" t="s">
        <v>54</v>
      </c>
      <c r="O24" s="76"/>
      <c r="P24" s="75"/>
      <c r="Q24" s="75"/>
      <c r="R24" s="75"/>
      <c r="S24" s="75"/>
      <c r="T24" s="75"/>
      <c r="U24" s="75"/>
      <c r="V24" s="75"/>
      <c r="W24" s="75"/>
      <c r="X24" s="75"/>
      <c r="Y24" s="75"/>
      <c r="Z24" s="75"/>
    </row>
    <row r="25" ht="14.25" customHeight="1">
      <c r="A25" s="81" t="s">
        <v>58</v>
      </c>
      <c r="B25" s="76"/>
      <c r="C25" s="76"/>
      <c r="D25" s="76"/>
      <c r="E25" s="76"/>
      <c r="F25" s="76"/>
      <c r="G25" s="76"/>
      <c r="H25" s="76"/>
      <c r="I25" s="77" t="s">
        <v>54</v>
      </c>
      <c r="J25" s="77" t="s">
        <v>55</v>
      </c>
      <c r="K25" s="77" t="s">
        <v>54</v>
      </c>
      <c r="L25" s="77" t="s">
        <v>55</v>
      </c>
      <c r="M25" s="77" t="s">
        <v>54</v>
      </c>
      <c r="N25" s="77" t="s">
        <v>55</v>
      </c>
      <c r="O25" s="76"/>
      <c r="P25" s="75"/>
      <c r="Q25" s="75"/>
      <c r="R25" s="75"/>
      <c r="S25" s="75"/>
      <c r="T25" s="75"/>
      <c r="U25" s="75"/>
      <c r="V25" s="75"/>
      <c r="W25" s="75"/>
      <c r="X25" s="75"/>
      <c r="Y25" s="75"/>
      <c r="Z25" s="75"/>
    </row>
    <row r="26" ht="14.25" customHeight="1">
      <c r="A26" s="81" t="s">
        <v>61</v>
      </c>
      <c r="B26" s="76"/>
      <c r="C26" s="76"/>
      <c r="D26" s="76"/>
      <c r="E26" s="76"/>
      <c r="F26" s="76"/>
      <c r="G26" s="76"/>
      <c r="H26" s="76"/>
      <c r="I26" s="77" t="s">
        <v>54</v>
      </c>
      <c r="J26" s="77" t="s">
        <v>54</v>
      </c>
      <c r="K26" s="77" t="s">
        <v>54</v>
      </c>
      <c r="L26" s="77" t="s">
        <v>54</v>
      </c>
      <c r="M26" s="77" t="s">
        <v>54</v>
      </c>
      <c r="N26" s="77" t="s">
        <v>54</v>
      </c>
      <c r="O26" s="76"/>
      <c r="P26" s="75"/>
      <c r="Q26" s="75"/>
      <c r="R26" s="75"/>
      <c r="S26" s="75"/>
      <c r="T26" s="75"/>
      <c r="U26" s="75"/>
      <c r="V26" s="75"/>
      <c r="W26" s="75"/>
      <c r="X26" s="75"/>
      <c r="Y26" s="75"/>
      <c r="Z26" s="75"/>
    </row>
    <row r="27" ht="14.25" customHeight="1">
      <c r="A27" s="81" t="s">
        <v>64</v>
      </c>
      <c r="B27" s="76"/>
      <c r="C27" s="76"/>
      <c r="D27" s="76"/>
      <c r="E27" s="76"/>
      <c r="F27" s="76"/>
      <c r="G27" s="76"/>
      <c r="H27" s="76"/>
      <c r="I27" s="77" t="s">
        <v>54</v>
      </c>
      <c r="J27" s="77" t="s">
        <v>54</v>
      </c>
      <c r="K27" s="77" t="s">
        <v>54</v>
      </c>
      <c r="L27" s="77" t="s">
        <v>54</v>
      </c>
      <c r="M27" s="77" t="s">
        <v>54</v>
      </c>
      <c r="N27" s="77" t="s">
        <v>54</v>
      </c>
      <c r="O27" s="76"/>
      <c r="P27" s="75"/>
      <c r="Q27" s="75"/>
      <c r="R27" s="75"/>
      <c r="S27" s="75"/>
      <c r="T27" s="75"/>
      <c r="U27" s="75"/>
      <c r="V27" s="75"/>
      <c r="W27" s="75"/>
      <c r="X27" s="75"/>
      <c r="Y27" s="75"/>
      <c r="Z27" s="75"/>
    </row>
    <row r="28" ht="14.25" customHeight="1">
      <c r="A28" s="82" t="s">
        <v>29</v>
      </c>
      <c r="B28" s="76"/>
      <c r="C28" s="76"/>
      <c r="D28" s="76"/>
      <c r="E28" s="76"/>
      <c r="F28" s="76"/>
      <c r="G28" s="76"/>
      <c r="H28" s="76"/>
      <c r="I28" s="77" t="s">
        <v>54</v>
      </c>
      <c r="J28" s="77" t="s">
        <v>54</v>
      </c>
      <c r="K28" s="77" t="s">
        <v>54</v>
      </c>
      <c r="L28" s="77" t="s">
        <v>54</v>
      </c>
      <c r="M28" s="77" t="s">
        <v>54</v>
      </c>
      <c r="N28" s="77" t="s">
        <v>54</v>
      </c>
      <c r="O28" s="76"/>
      <c r="P28" s="75"/>
      <c r="Q28" s="75"/>
      <c r="R28" s="75"/>
      <c r="S28" s="75"/>
      <c r="T28" s="75"/>
      <c r="U28" s="75"/>
      <c r="V28" s="75"/>
      <c r="W28" s="75"/>
      <c r="X28" s="75"/>
      <c r="Y28" s="75"/>
      <c r="Z28" s="75"/>
    </row>
    <row r="29" ht="14.25" customHeight="1">
      <c r="A29" s="82" t="s">
        <v>68</v>
      </c>
      <c r="B29" s="76"/>
      <c r="C29" s="76"/>
      <c r="D29" s="76"/>
      <c r="E29" s="76"/>
      <c r="F29" s="76"/>
      <c r="G29" s="76"/>
      <c r="H29" s="76"/>
      <c r="I29" s="77" t="s">
        <v>54</v>
      </c>
      <c r="J29" s="77" t="s">
        <v>54</v>
      </c>
      <c r="K29" s="77" t="s">
        <v>54</v>
      </c>
      <c r="L29" s="77" t="s">
        <v>54</v>
      </c>
      <c r="M29" s="77" t="s">
        <v>54</v>
      </c>
      <c r="N29" s="77" t="s">
        <v>54</v>
      </c>
      <c r="O29" s="76"/>
      <c r="P29" s="75"/>
      <c r="Q29" s="75"/>
      <c r="R29" s="75"/>
      <c r="S29" s="75"/>
      <c r="T29" s="75"/>
      <c r="U29" s="75"/>
      <c r="V29" s="75"/>
      <c r="W29" s="75"/>
      <c r="X29" s="75"/>
      <c r="Y29" s="75"/>
      <c r="Z29" s="75"/>
    </row>
    <row r="30" ht="14.25" customHeight="1">
      <c r="A30" s="82" t="s">
        <v>70</v>
      </c>
      <c r="B30" s="76"/>
      <c r="C30" s="76"/>
      <c r="D30" s="76"/>
      <c r="E30" s="76"/>
      <c r="F30" s="76"/>
      <c r="G30" s="76"/>
      <c r="H30" s="76"/>
      <c r="I30" s="77" t="s">
        <v>55</v>
      </c>
      <c r="J30" s="77" t="s">
        <v>55</v>
      </c>
      <c r="K30" s="77" t="s">
        <v>55</v>
      </c>
      <c r="L30" s="77" t="s">
        <v>55</v>
      </c>
      <c r="M30" s="77" t="s">
        <v>54</v>
      </c>
      <c r="N30" s="77" t="s">
        <v>55</v>
      </c>
      <c r="O30" s="76"/>
      <c r="P30" s="75"/>
      <c r="Q30" s="75"/>
      <c r="R30" s="75"/>
      <c r="S30" s="75"/>
      <c r="T30" s="75"/>
      <c r="U30" s="75"/>
      <c r="V30" s="75"/>
      <c r="W30" s="75"/>
      <c r="X30" s="75"/>
      <c r="Y30" s="75"/>
      <c r="Z30" s="75"/>
    </row>
    <row r="31" ht="14.25" customHeight="1">
      <c r="A31" s="82" t="s">
        <v>73</v>
      </c>
      <c r="B31" s="76"/>
      <c r="C31" s="76"/>
      <c r="D31" s="76"/>
      <c r="E31" s="76"/>
      <c r="F31" s="76"/>
      <c r="G31" s="76"/>
      <c r="H31" s="76"/>
      <c r="I31" s="77" t="s">
        <v>54</v>
      </c>
      <c r="J31" s="77" t="s">
        <v>55</v>
      </c>
      <c r="K31" s="77" t="s">
        <v>54</v>
      </c>
      <c r="L31" s="77" t="s">
        <v>54</v>
      </c>
      <c r="M31" s="77" t="s">
        <v>54</v>
      </c>
      <c r="N31" s="77" t="s">
        <v>54</v>
      </c>
      <c r="O31" s="76"/>
      <c r="P31" s="75"/>
      <c r="Q31" s="75"/>
      <c r="R31" s="75"/>
      <c r="S31" s="75"/>
      <c r="T31" s="75"/>
      <c r="U31" s="75"/>
      <c r="V31" s="75"/>
      <c r="W31" s="75"/>
      <c r="X31" s="75"/>
      <c r="Y31" s="75"/>
      <c r="Z31" s="75"/>
    </row>
    <row r="32" ht="14.25" customHeight="1">
      <c r="A32" s="82" t="s">
        <v>76</v>
      </c>
      <c r="B32" s="76"/>
      <c r="C32" s="76"/>
      <c r="D32" s="76"/>
      <c r="E32" s="76"/>
      <c r="F32" s="76"/>
      <c r="G32" s="76"/>
      <c r="H32" s="76"/>
      <c r="I32" s="77" t="s">
        <v>55</v>
      </c>
      <c r="J32" s="77" t="s">
        <v>54</v>
      </c>
      <c r="K32" s="77" t="s">
        <v>55</v>
      </c>
      <c r="L32" s="77" t="s">
        <v>55</v>
      </c>
      <c r="M32" s="77" t="s">
        <v>54</v>
      </c>
      <c r="N32" s="77" t="s">
        <v>55</v>
      </c>
      <c r="O32" s="76"/>
      <c r="P32" s="75"/>
      <c r="Q32" s="75"/>
      <c r="R32" s="75"/>
      <c r="S32" s="75"/>
      <c r="T32" s="75"/>
      <c r="U32" s="75"/>
      <c r="V32" s="75"/>
      <c r="W32" s="75"/>
      <c r="X32" s="75"/>
      <c r="Y32" s="75"/>
      <c r="Z32" s="75"/>
    </row>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B2:Z11 B12:I12 K12:Z12 B13:Z32">
      <formula1>'Tablas AR'!$A$18:$A$19</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5">
    <tabColor rgb="FF4F6128"/>
    <pageSetUpPr/>
  </sheetPr>
  <sheetViews>
    <sheetView workbookViewId="0"/>
  </sheetViews>
  <sheetFormatPr customHeight="1" defaultColWidth="14.43" defaultRowHeight="15.0"/>
  <cols>
    <col customWidth="1" min="1" max="1" width="21.43"/>
    <col customWidth="1" min="2" max="2" width="79.43"/>
    <col customWidth="1" hidden="1" min="3" max="3" width="38.86"/>
    <col customWidth="1" min="4" max="4" width="35.71"/>
    <col customWidth="1" min="5" max="5" width="18.14"/>
    <col customWidth="1" hidden="1" min="6" max="6" width="18.14"/>
    <col customWidth="1" min="7" max="7" width="17.0"/>
    <col customWidth="1" hidden="1" min="8" max="8" width="17.71"/>
    <col customWidth="1" min="9" max="9" width="16.29"/>
    <col customWidth="1" min="10" max="26" width="10.71"/>
  </cols>
  <sheetData>
    <row r="1" ht="14.25" customHeight="1">
      <c r="B1" s="83" t="s">
        <v>0</v>
      </c>
      <c r="C1" s="43"/>
      <c r="D1" s="43"/>
      <c r="E1" s="43"/>
      <c r="F1" s="43"/>
      <c r="G1" s="43"/>
      <c r="H1" s="43"/>
      <c r="I1" s="44"/>
    </row>
    <row r="2" ht="14.25" customHeight="1">
      <c r="B2" s="29" t="s">
        <v>83</v>
      </c>
      <c r="C2" s="29"/>
      <c r="D2" s="29" t="s">
        <v>117</v>
      </c>
      <c r="E2" s="29" t="s">
        <v>118</v>
      </c>
      <c r="F2" s="29"/>
      <c r="G2" s="29" t="s">
        <v>119</v>
      </c>
      <c r="H2" s="29"/>
      <c r="I2" s="29" t="s">
        <v>120</v>
      </c>
    </row>
    <row r="3" ht="14.25" customHeight="1">
      <c r="B3" s="56" t="s">
        <v>103</v>
      </c>
      <c r="C3" s="84"/>
      <c r="D3" s="45" t="s">
        <v>57</v>
      </c>
      <c r="E3" s="77" t="s">
        <v>37</v>
      </c>
      <c r="F3" s="76">
        <f>IF(E3='Tablas AR'!$B$4,1,IF('Análisis de Riesgos'!E3='Tablas AR'!$B$5,2,IF('Análisis de Riesgos'!E3='Tablas AR'!$B$6,3,"")))</f>
        <v>1</v>
      </c>
      <c r="G3" s="77" t="s">
        <v>41</v>
      </c>
      <c r="H3" s="76">
        <f>IF(G3='Tablas AR'!$B$10,1,IF('Análisis de Riesgos'!G3='Tablas AR'!$B$11,2,IF('Análisis de Riesgos'!G3='Tablas AR'!$B$12,3,"")))</f>
        <v>3</v>
      </c>
      <c r="I3" s="76">
        <f t="shared" ref="I3:I931" si="1"> IFERROR(F3*H3,"")</f>
        <v>3</v>
      </c>
    </row>
    <row r="4" ht="14.25" customHeight="1">
      <c r="B4" s="56" t="s">
        <v>103</v>
      </c>
      <c r="C4" s="84"/>
      <c r="D4" s="45" t="s">
        <v>59</v>
      </c>
      <c r="E4" s="77" t="s">
        <v>37</v>
      </c>
      <c r="F4" s="76">
        <f>IF(E4='Tablas AR'!$B$4,1,IF('Análisis de Riesgos'!E4='Tablas AR'!$B$5,2,IF('Análisis de Riesgos'!E4='Tablas AR'!$B$6,3,"")))</f>
        <v>1</v>
      </c>
      <c r="G4" s="77" t="s">
        <v>41</v>
      </c>
      <c r="H4" s="76">
        <f>IF(G4='Tablas AR'!$B$10,1,IF('Análisis de Riesgos'!G4='Tablas AR'!$B$11,2,IF('Análisis de Riesgos'!G4='Tablas AR'!$B$12,3,"")))</f>
        <v>3</v>
      </c>
      <c r="I4" s="76">
        <f t="shared" si="1"/>
        <v>3</v>
      </c>
    </row>
    <row r="5" ht="14.25" customHeight="1">
      <c r="B5" s="56" t="s">
        <v>103</v>
      </c>
      <c r="C5" s="84"/>
      <c r="D5" s="45" t="s">
        <v>62</v>
      </c>
      <c r="E5" s="77" t="s">
        <v>37</v>
      </c>
      <c r="F5" s="76">
        <f>IF(E5='Tablas AR'!$B$4,1,IF('Análisis de Riesgos'!E5='Tablas AR'!$B$5,2,IF('Análisis de Riesgos'!E5='Tablas AR'!$B$6,3,"")))</f>
        <v>1</v>
      </c>
      <c r="G5" s="77" t="s">
        <v>41</v>
      </c>
      <c r="H5" s="76">
        <f>IF(G5='Tablas AR'!$B$10,1,IF('Análisis de Riesgos'!G5='Tablas AR'!$B$11,2,IF('Análisis de Riesgos'!G5='Tablas AR'!$B$12,3,"")))</f>
        <v>3</v>
      </c>
      <c r="I5" s="76">
        <f t="shared" si="1"/>
        <v>3</v>
      </c>
    </row>
    <row r="6" ht="14.25" customHeight="1">
      <c r="B6" s="56" t="s">
        <v>103</v>
      </c>
      <c r="C6" s="84"/>
      <c r="D6" s="48" t="s">
        <v>25</v>
      </c>
      <c r="E6" s="77" t="s">
        <v>39</v>
      </c>
      <c r="F6" s="76">
        <f>IF(E6='Tablas AR'!$B$4,1,IF('Análisis de Riesgos'!E6='Tablas AR'!$B$5,2,IF('Análisis de Riesgos'!E6='Tablas AR'!$B$6,3,"")))</f>
        <v>2</v>
      </c>
      <c r="G6" s="77" t="s">
        <v>41</v>
      </c>
      <c r="H6" s="76">
        <f>IF(G6='Tablas AR'!$B$10,1,IF('Análisis de Riesgos'!G6='Tablas AR'!$B$11,2,IF('Análisis de Riesgos'!G6='Tablas AR'!$B$12,3,"")))</f>
        <v>3</v>
      </c>
      <c r="I6" s="76">
        <f t="shared" si="1"/>
        <v>6</v>
      </c>
    </row>
    <row r="7" ht="14.25" customHeight="1">
      <c r="B7" s="56" t="s">
        <v>103</v>
      </c>
      <c r="C7" s="84"/>
      <c r="D7" s="48" t="s">
        <v>67</v>
      </c>
      <c r="E7" s="77" t="s">
        <v>39</v>
      </c>
      <c r="F7" s="76">
        <f>IF(E7='Tablas AR'!$B$4,1,IF('Análisis de Riesgos'!E7='Tablas AR'!$B$5,2,IF('Análisis de Riesgos'!E7='Tablas AR'!$B$6,3,"")))</f>
        <v>2</v>
      </c>
      <c r="G7" s="77" t="s">
        <v>41</v>
      </c>
      <c r="H7" s="76">
        <f>IF(G7='Tablas AR'!$B$10,1,IF('Análisis de Riesgos'!G7='Tablas AR'!$B$11,2,IF('Análisis de Riesgos'!G7='Tablas AR'!$B$12,3,"")))</f>
        <v>3</v>
      </c>
      <c r="I7" s="76">
        <f t="shared" si="1"/>
        <v>6</v>
      </c>
    </row>
    <row r="8" ht="14.25" customHeight="1">
      <c r="B8" s="56" t="s">
        <v>103</v>
      </c>
      <c r="C8" s="84"/>
      <c r="D8" s="48" t="s">
        <v>69</v>
      </c>
      <c r="E8" s="77" t="s">
        <v>39</v>
      </c>
      <c r="F8" s="76">
        <f>IF(E8='Tablas AR'!$B$4,1,IF('Análisis de Riesgos'!E8='Tablas AR'!$B$5,2,IF('Análisis de Riesgos'!E8='Tablas AR'!$B$6,3,"")))</f>
        <v>2</v>
      </c>
      <c r="G8" s="77" t="s">
        <v>41</v>
      </c>
      <c r="H8" s="76">
        <f>IF(G8='Tablas AR'!$B$10,1,IF('Análisis de Riesgos'!G8='Tablas AR'!$B$11,2,IF('Análisis de Riesgos'!G8='Tablas AR'!$B$12,3,"")))</f>
        <v>3</v>
      </c>
      <c r="I8" s="76">
        <f t="shared" si="1"/>
        <v>6</v>
      </c>
    </row>
    <row r="9" ht="14.25" customHeight="1">
      <c r="B9" s="56" t="s">
        <v>103</v>
      </c>
      <c r="C9" s="84"/>
      <c r="D9" s="48" t="s">
        <v>71</v>
      </c>
      <c r="E9" s="77" t="s">
        <v>39</v>
      </c>
      <c r="F9" s="76">
        <f>IF(E9='Tablas AR'!$B$4,1,IF('Análisis de Riesgos'!E9='Tablas AR'!$B$5,2,IF('Análisis de Riesgos'!E9='Tablas AR'!$B$6,3,"")))</f>
        <v>2</v>
      </c>
      <c r="G9" s="77" t="s">
        <v>41</v>
      </c>
      <c r="H9" s="76">
        <f>IF(G9='Tablas AR'!$B$10,1,IF('Análisis de Riesgos'!G9='Tablas AR'!$B$11,2,IF('Análisis de Riesgos'!G9='Tablas AR'!$B$12,3,"")))</f>
        <v>3</v>
      </c>
      <c r="I9" s="76">
        <f t="shared" si="1"/>
        <v>6</v>
      </c>
    </row>
    <row r="10" ht="14.25" customHeight="1">
      <c r="B10" s="56" t="s">
        <v>103</v>
      </c>
      <c r="C10" s="84"/>
      <c r="D10" s="48" t="s">
        <v>74</v>
      </c>
      <c r="E10" s="77" t="s">
        <v>39</v>
      </c>
      <c r="F10" s="76">
        <f>IF(E10='Tablas AR'!$B$4,1,IF('Análisis de Riesgos'!E10='Tablas AR'!$B$5,2,IF('Análisis de Riesgos'!E10='Tablas AR'!$B$6,3,"")))</f>
        <v>2</v>
      </c>
      <c r="G10" s="77" t="s">
        <v>41</v>
      </c>
      <c r="H10" s="76">
        <f>IF(G10='Tablas AR'!$B$10,1,IF('Análisis de Riesgos'!G10='Tablas AR'!$B$11,2,IF('Análisis de Riesgos'!G10='Tablas AR'!$B$12,3,"")))</f>
        <v>3</v>
      </c>
      <c r="I10" s="76">
        <f t="shared" si="1"/>
        <v>6</v>
      </c>
    </row>
    <row r="11" ht="14.25" customHeight="1">
      <c r="B11" s="56" t="s">
        <v>103</v>
      </c>
      <c r="C11" s="84"/>
      <c r="D11" s="48" t="s">
        <v>77</v>
      </c>
      <c r="E11" s="77" t="s">
        <v>39</v>
      </c>
      <c r="F11" s="76">
        <f>IF(E11='Tablas AR'!$B$4,1,IF('Análisis de Riesgos'!E11='Tablas AR'!$B$5,2,IF('Análisis de Riesgos'!E11='Tablas AR'!$B$6,3,"")))</f>
        <v>2</v>
      </c>
      <c r="G11" s="77" t="s">
        <v>41</v>
      </c>
      <c r="H11" s="76">
        <f>IF(G11='Tablas AR'!$B$10,1,IF('Análisis de Riesgos'!G11='Tablas AR'!$B$11,2,IF('Análisis de Riesgos'!G11='Tablas AR'!$B$12,3,"")))</f>
        <v>3</v>
      </c>
      <c r="I11" s="76">
        <f t="shared" si="1"/>
        <v>6</v>
      </c>
    </row>
    <row r="12" ht="14.25" customHeight="1">
      <c r="B12" s="56" t="s">
        <v>103</v>
      </c>
      <c r="C12" s="84"/>
      <c r="D12" s="78" t="s">
        <v>31</v>
      </c>
      <c r="E12" s="77" t="s">
        <v>37</v>
      </c>
      <c r="F12" s="76">
        <f>IF(E12='Tablas AR'!$B$4,1,IF('Análisis de Riesgos'!E12='Tablas AR'!$B$5,2,IF('Análisis de Riesgos'!E12='Tablas AR'!$B$6,3,"")))</f>
        <v>1</v>
      </c>
      <c r="G12" s="77" t="s">
        <v>41</v>
      </c>
      <c r="H12" s="76">
        <f>IF(G12='Tablas AR'!$B$10,1,IF('Análisis de Riesgos'!G12='Tablas AR'!$B$11,2,IF('Análisis de Riesgos'!G12='Tablas AR'!$B$12,3,"")))</f>
        <v>3</v>
      </c>
      <c r="I12" s="76">
        <f t="shared" si="1"/>
        <v>3</v>
      </c>
    </row>
    <row r="13" ht="14.25" customHeight="1">
      <c r="B13" s="56" t="s">
        <v>103</v>
      </c>
      <c r="C13" s="84"/>
      <c r="D13" s="78" t="s">
        <v>60</v>
      </c>
      <c r="E13" s="77" t="s">
        <v>37</v>
      </c>
      <c r="F13" s="76">
        <f>IF(E13='Tablas AR'!$B$4,1,IF('Análisis de Riesgos'!E13='Tablas AR'!$B$5,2,IF('Análisis de Riesgos'!E13='Tablas AR'!$B$6,3,"")))</f>
        <v>1</v>
      </c>
      <c r="G13" s="77" t="s">
        <v>41</v>
      </c>
      <c r="H13" s="76">
        <f>IF(G13='Tablas AR'!$B$10,1,IF('Análisis de Riesgos'!G13='Tablas AR'!$B$11,2,IF('Análisis de Riesgos'!G13='Tablas AR'!$B$12,3,"")))</f>
        <v>3</v>
      </c>
      <c r="I13" s="76">
        <f t="shared" si="1"/>
        <v>3</v>
      </c>
    </row>
    <row r="14" ht="14.25" customHeight="1">
      <c r="B14" s="56" t="s">
        <v>103</v>
      </c>
      <c r="C14" s="84"/>
      <c r="D14" s="78" t="s">
        <v>63</v>
      </c>
      <c r="E14" s="77" t="s">
        <v>39</v>
      </c>
      <c r="F14" s="76">
        <f>IF(E14='Tablas AR'!$B$4,1,IF('Análisis de Riesgos'!E14='Tablas AR'!$B$5,2,IF('Análisis de Riesgos'!E14='Tablas AR'!$B$6,3,"")))</f>
        <v>2</v>
      </c>
      <c r="G14" s="77" t="s">
        <v>41</v>
      </c>
      <c r="H14" s="76">
        <f>IF(G14='Tablas AR'!$B$10,1,IF('Análisis de Riesgos'!G14='Tablas AR'!$B$11,2,IF('Análisis de Riesgos'!G14='Tablas AR'!$B$12,3,"")))</f>
        <v>3</v>
      </c>
      <c r="I14" s="76">
        <f t="shared" si="1"/>
        <v>6</v>
      </c>
    </row>
    <row r="15" ht="14.25" customHeight="1">
      <c r="B15" s="56" t="s">
        <v>103</v>
      </c>
      <c r="C15" s="84"/>
      <c r="D15" s="78" t="s">
        <v>65</v>
      </c>
      <c r="E15" s="77" t="s">
        <v>39</v>
      </c>
      <c r="F15" s="76">
        <f>IF(E15='Tablas AR'!$B$4,1,IF('Análisis de Riesgos'!E15='Tablas AR'!$B$5,2,IF('Análisis de Riesgos'!E15='Tablas AR'!$B$6,3,"")))</f>
        <v>2</v>
      </c>
      <c r="G15" s="77" t="s">
        <v>41</v>
      </c>
      <c r="H15" s="76">
        <f>IF(G15='Tablas AR'!$B$10,1,IF('Análisis de Riesgos'!G15='Tablas AR'!$B$11,2,IF('Análisis de Riesgos'!G15='Tablas AR'!$B$12,3,"")))</f>
        <v>3</v>
      </c>
      <c r="I15" s="76">
        <f t="shared" si="1"/>
        <v>6</v>
      </c>
    </row>
    <row r="16" ht="14.25" customHeight="1">
      <c r="B16" s="56" t="s">
        <v>103</v>
      </c>
      <c r="C16" s="84"/>
      <c r="D16" s="78" t="s">
        <v>66</v>
      </c>
      <c r="E16" s="77" t="s">
        <v>37</v>
      </c>
      <c r="F16" s="76">
        <f>IF(E16='Tablas AR'!$B$4,1,IF('Análisis de Riesgos'!E16='Tablas AR'!$B$5,2,IF('Análisis de Riesgos'!E16='Tablas AR'!$B$6,3,"")))</f>
        <v>1</v>
      </c>
      <c r="G16" s="77" t="s">
        <v>41</v>
      </c>
      <c r="H16" s="76">
        <f>IF(G16='Tablas AR'!$B$10,1,IF('Análisis de Riesgos'!G16='Tablas AR'!$B$11,2,IF('Análisis de Riesgos'!G16='Tablas AR'!$B$12,3,"")))</f>
        <v>3</v>
      </c>
      <c r="I16" s="76">
        <f t="shared" si="1"/>
        <v>3</v>
      </c>
    </row>
    <row r="17" ht="14.25" customHeight="1">
      <c r="B17" s="56" t="s">
        <v>103</v>
      </c>
      <c r="C17" s="84"/>
      <c r="D17" s="80" t="s">
        <v>26</v>
      </c>
      <c r="E17" s="77" t="s">
        <v>39</v>
      </c>
      <c r="F17" s="76">
        <f>IF(E17='Tablas AR'!$B$4,1,IF('Análisis de Riesgos'!E17='Tablas AR'!$B$5,2,IF('Análisis de Riesgos'!E17='Tablas AR'!$B$6,3,"")))</f>
        <v>2</v>
      </c>
      <c r="G17" s="77" t="s">
        <v>41</v>
      </c>
      <c r="H17" s="76">
        <f>IF(G17='Tablas AR'!$B$10,1,IF('Análisis de Riesgos'!G17='Tablas AR'!$B$11,2,IF('Análisis de Riesgos'!G17='Tablas AR'!$B$12,3,"")))</f>
        <v>3</v>
      </c>
      <c r="I17" s="76">
        <f t="shared" si="1"/>
        <v>6</v>
      </c>
    </row>
    <row r="18" ht="14.25" customHeight="1">
      <c r="B18" s="56" t="s">
        <v>103</v>
      </c>
      <c r="C18" s="84"/>
      <c r="D18" s="80" t="s">
        <v>72</v>
      </c>
      <c r="E18" s="77" t="s">
        <v>39</v>
      </c>
      <c r="F18" s="76">
        <f>IF(E18='Tablas AR'!$B$4,1,IF('Análisis de Riesgos'!E18='Tablas AR'!$B$5,2,IF('Análisis de Riesgos'!E18='Tablas AR'!$B$6,3,"")))</f>
        <v>2</v>
      </c>
      <c r="G18" s="77" t="s">
        <v>41</v>
      </c>
      <c r="H18" s="76">
        <f>IF(G18='Tablas AR'!$B$10,1,IF('Análisis de Riesgos'!G18='Tablas AR'!$B$11,2,IF('Análisis de Riesgos'!G18='Tablas AR'!$B$12,3,"")))</f>
        <v>3</v>
      </c>
      <c r="I18" s="76">
        <f t="shared" si="1"/>
        <v>6</v>
      </c>
    </row>
    <row r="19" ht="14.25" customHeight="1">
      <c r="B19" s="56" t="s">
        <v>103</v>
      </c>
      <c r="C19" s="84"/>
      <c r="D19" s="80" t="s">
        <v>75</v>
      </c>
      <c r="E19" s="77" t="s">
        <v>39</v>
      </c>
      <c r="F19" s="76">
        <f>IF(E19='Tablas AR'!$B$4,1,IF('Análisis de Riesgos'!E19='Tablas AR'!$B$5,2,IF('Análisis de Riesgos'!E19='Tablas AR'!$B$6,3,"")))</f>
        <v>2</v>
      </c>
      <c r="G19" s="77" t="s">
        <v>41</v>
      </c>
      <c r="H19" s="76">
        <f>IF(G19='Tablas AR'!$B$10,1,IF('Análisis de Riesgos'!G19='Tablas AR'!$B$11,2,IF('Análisis de Riesgos'!G19='Tablas AR'!$B$12,3,"")))</f>
        <v>3</v>
      </c>
      <c r="I19" s="76">
        <f t="shared" si="1"/>
        <v>6</v>
      </c>
    </row>
    <row r="20" ht="14.25" customHeight="1">
      <c r="B20" s="56" t="s">
        <v>103</v>
      </c>
      <c r="C20" s="84"/>
      <c r="D20" s="80" t="s">
        <v>78</v>
      </c>
      <c r="E20" s="77" t="s">
        <v>39</v>
      </c>
      <c r="F20" s="76">
        <f>IF(E20='Tablas AR'!$B$4,1,IF('Análisis de Riesgos'!E20='Tablas AR'!$B$5,2,IF('Análisis de Riesgos'!E20='Tablas AR'!$B$6,3,"")))</f>
        <v>2</v>
      </c>
      <c r="G20" s="77" t="s">
        <v>41</v>
      </c>
      <c r="H20" s="76">
        <f>IF(G20='Tablas AR'!$B$10,1,IF('Análisis de Riesgos'!G20='Tablas AR'!$B$11,2,IF('Análisis de Riesgos'!G20='Tablas AR'!$B$12,3,"")))</f>
        <v>3</v>
      </c>
      <c r="I20" s="76">
        <f t="shared" si="1"/>
        <v>6</v>
      </c>
    </row>
    <row r="21" ht="14.25" customHeight="1">
      <c r="B21" s="56" t="s">
        <v>103</v>
      </c>
      <c r="C21" s="84"/>
      <c r="D21" s="80" t="s">
        <v>28</v>
      </c>
      <c r="E21" s="77" t="s">
        <v>39</v>
      </c>
      <c r="F21" s="76">
        <f>IF(E21='Tablas AR'!$B$4,1,IF('Análisis de Riesgos'!E21='Tablas AR'!$B$5,2,IF('Análisis de Riesgos'!E21='Tablas AR'!$B$6,3,"")))</f>
        <v>2</v>
      </c>
      <c r="G21" s="77" t="s">
        <v>41</v>
      </c>
      <c r="H21" s="76">
        <f>IF(G21='Tablas AR'!$B$10,1,IF('Análisis de Riesgos'!G21='Tablas AR'!$B$11,2,IF('Análisis de Riesgos'!G21='Tablas AR'!$B$12,3,"")))</f>
        <v>3</v>
      </c>
      <c r="I21" s="76">
        <f t="shared" si="1"/>
        <v>6</v>
      </c>
    </row>
    <row r="22" ht="14.25" customHeight="1">
      <c r="B22" s="56" t="s">
        <v>103</v>
      </c>
      <c r="C22" s="84"/>
      <c r="D22" s="80" t="s">
        <v>79</v>
      </c>
      <c r="E22" s="77" t="s">
        <v>39</v>
      </c>
      <c r="F22" s="76">
        <f>IF(E22='Tablas AR'!$B$4,1,IF('Análisis de Riesgos'!E22='Tablas AR'!$B$5,2,IF('Análisis de Riesgos'!E22='Tablas AR'!$B$6,3,"")))</f>
        <v>2</v>
      </c>
      <c r="G22" s="77" t="s">
        <v>41</v>
      </c>
      <c r="H22" s="76">
        <f>IF(G22='Tablas AR'!$B$10,1,IF('Análisis de Riesgos'!G22='Tablas AR'!$B$11,2,IF('Análisis de Riesgos'!G22='Tablas AR'!$B$12,3,"")))</f>
        <v>3</v>
      </c>
      <c r="I22" s="76">
        <f t="shared" si="1"/>
        <v>6</v>
      </c>
    </row>
    <row r="23" ht="14.25" customHeight="1">
      <c r="B23" s="56" t="s">
        <v>103</v>
      </c>
      <c r="C23" s="84"/>
      <c r="D23" s="80" t="s">
        <v>70</v>
      </c>
      <c r="E23" s="77" t="s">
        <v>41</v>
      </c>
      <c r="F23" s="76">
        <f>IF(E23='Tablas AR'!$B$4,1,IF('Análisis de Riesgos'!E23='Tablas AR'!$B$5,2,IF('Análisis de Riesgos'!E23='Tablas AR'!$B$6,3,"")))</f>
        <v>3</v>
      </c>
      <c r="G23" s="77" t="s">
        <v>39</v>
      </c>
      <c r="H23" s="76">
        <f>IF(G23='Tablas AR'!$B$10,1,IF('Análisis de Riesgos'!G23='Tablas AR'!$B$11,2,IF('Análisis de Riesgos'!G23='Tablas AR'!$B$12,3,"")))</f>
        <v>2</v>
      </c>
      <c r="I23" s="76">
        <f t="shared" si="1"/>
        <v>6</v>
      </c>
    </row>
    <row r="24" ht="14.25" customHeight="1">
      <c r="B24" s="56" t="s">
        <v>103</v>
      </c>
      <c r="C24" s="84"/>
      <c r="D24" s="80" t="s">
        <v>80</v>
      </c>
      <c r="E24" s="77" t="s">
        <v>39</v>
      </c>
      <c r="F24" s="76">
        <f>IF(E24='Tablas AR'!$B$4,1,IF('Análisis de Riesgos'!E24='Tablas AR'!$B$5,2,IF('Análisis de Riesgos'!E24='Tablas AR'!$B$6,3,"")))</f>
        <v>2</v>
      </c>
      <c r="G24" s="77" t="s">
        <v>41</v>
      </c>
      <c r="H24" s="76">
        <f>IF(G24='Tablas AR'!$B$10,1,IF('Análisis de Riesgos'!G24='Tablas AR'!$B$11,2,IF('Análisis de Riesgos'!G24='Tablas AR'!$B$12,3,"")))</f>
        <v>3</v>
      </c>
      <c r="I24" s="76">
        <f t="shared" si="1"/>
        <v>6</v>
      </c>
    </row>
    <row r="25" ht="14.25" customHeight="1">
      <c r="B25" s="56" t="s">
        <v>103</v>
      </c>
      <c r="C25" s="84"/>
      <c r="D25" s="80" t="s">
        <v>81</v>
      </c>
      <c r="E25" s="77" t="s">
        <v>39</v>
      </c>
      <c r="F25" s="76">
        <f>IF(E25='Tablas AR'!$B$4,1,IF('Análisis de Riesgos'!E25='Tablas AR'!$B$5,2,IF('Análisis de Riesgos'!E25='Tablas AR'!$B$6,3,"")))</f>
        <v>2</v>
      </c>
      <c r="G25" s="77" t="s">
        <v>41</v>
      </c>
      <c r="H25" s="76">
        <f>IF(G25='Tablas AR'!$B$10,1,IF('Análisis de Riesgos'!G25='Tablas AR'!$B$11,2,IF('Análisis de Riesgos'!G25='Tablas AR'!$B$12,3,"")))</f>
        <v>3</v>
      </c>
      <c r="I25" s="76">
        <f t="shared" si="1"/>
        <v>6</v>
      </c>
    </row>
    <row r="26" ht="14.25" customHeight="1">
      <c r="B26" s="56" t="s">
        <v>103</v>
      </c>
      <c r="C26" s="84"/>
      <c r="D26" s="81" t="s">
        <v>58</v>
      </c>
      <c r="E26" s="77" t="s">
        <v>41</v>
      </c>
      <c r="F26" s="76">
        <f>IF(E26='Tablas AR'!$B$4,1,IF('Análisis de Riesgos'!E26='Tablas AR'!$B$5,2,IF('Análisis de Riesgos'!E26='Tablas AR'!$B$6,3,"")))</f>
        <v>3</v>
      </c>
      <c r="G26" s="77" t="s">
        <v>37</v>
      </c>
      <c r="H26" s="76">
        <f>IF(G26='Tablas AR'!$B$10,1,IF('Análisis de Riesgos'!G26='Tablas AR'!$B$11,2,IF('Análisis de Riesgos'!G26='Tablas AR'!$B$12,3,"")))</f>
        <v>1</v>
      </c>
      <c r="I26" s="76">
        <f t="shared" si="1"/>
        <v>3</v>
      </c>
    </row>
    <row r="27" ht="14.25" customHeight="1">
      <c r="B27" s="56" t="s">
        <v>103</v>
      </c>
      <c r="C27" s="84"/>
      <c r="D27" s="81" t="s">
        <v>61</v>
      </c>
      <c r="E27" s="77" t="s">
        <v>39</v>
      </c>
      <c r="F27" s="76">
        <f>IF(E27='Tablas AR'!$B$4,1,IF('Análisis de Riesgos'!E27='Tablas AR'!$B$5,2,IF('Análisis de Riesgos'!E27='Tablas AR'!$B$6,3,"")))</f>
        <v>2</v>
      </c>
      <c r="G27" s="77" t="s">
        <v>39</v>
      </c>
      <c r="H27" s="76">
        <f>IF(G27='Tablas AR'!$B$10,1,IF('Análisis de Riesgos'!G27='Tablas AR'!$B$11,2,IF('Análisis de Riesgos'!G27='Tablas AR'!$B$12,3,"")))</f>
        <v>2</v>
      </c>
      <c r="I27" s="76">
        <f t="shared" si="1"/>
        <v>4</v>
      </c>
    </row>
    <row r="28" ht="14.25" customHeight="1">
      <c r="B28" s="56" t="s">
        <v>103</v>
      </c>
      <c r="C28" s="84"/>
      <c r="D28" s="81" t="s">
        <v>64</v>
      </c>
      <c r="E28" s="77" t="s">
        <v>37</v>
      </c>
      <c r="F28" s="76">
        <f>IF(E28='Tablas AR'!$B$4,1,IF('Análisis de Riesgos'!E28='Tablas AR'!$B$5,2,IF('Análisis de Riesgos'!E28='Tablas AR'!$B$6,3,"")))</f>
        <v>1</v>
      </c>
      <c r="G28" s="77" t="s">
        <v>41</v>
      </c>
      <c r="H28" s="76">
        <f>IF(G28='Tablas AR'!$B$10,1,IF('Análisis de Riesgos'!G28='Tablas AR'!$B$11,2,IF('Análisis de Riesgos'!G28='Tablas AR'!$B$12,3,"")))</f>
        <v>3</v>
      </c>
      <c r="I28" s="76">
        <f t="shared" si="1"/>
        <v>3</v>
      </c>
    </row>
    <row r="29" ht="14.25" customHeight="1">
      <c r="B29" s="56" t="s">
        <v>103</v>
      </c>
      <c r="C29" s="84"/>
      <c r="D29" s="82" t="s">
        <v>29</v>
      </c>
      <c r="E29" s="77" t="s">
        <v>41</v>
      </c>
      <c r="F29" s="76">
        <f>IF(E29='Tablas AR'!$B$4,1,IF('Análisis de Riesgos'!E29='Tablas AR'!$B$5,2,IF('Análisis de Riesgos'!E29='Tablas AR'!$B$6,3,"")))</f>
        <v>3</v>
      </c>
      <c r="G29" s="77" t="s">
        <v>41</v>
      </c>
      <c r="H29" s="76">
        <f>IF(G29='Tablas AR'!$B$10,1,IF('Análisis de Riesgos'!G29='Tablas AR'!$B$11,2,IF('Análisis de Riesgos'!G29='Tablas AR'!$B$12,3,"")))</f>
        <v>3</v>
      </c>
      <c r="I29" s="76">
        <f t="shared" si="1"/>
        <v>9</v>
      </c>
    </row>
    <row r="30" ht="14.25" customHeight="1">
      <c r="B30" s="56" t="s">
        <v>103</v>
      </c>
      <c r="C30" s="84"/>
      <c r="D30" s="82" t="s">
        <v>68</v>
      </c>
      <c r="E30" s="77" t="s">
        <v>37</v>
      </c>
      <c r="F30" s="76">
        <f>IF(E30='Tablas AR'!$B$4,1,IF('Análisis de Riesgos'!E30='Tablas AR'!$B$5,2,IF('Análisis de Riesgos'!E30='Tablas AR'!$B$6,3,"")))</f>
        <v>1</v>
      </c>
      <c r="G30" s="77" t="s">
        <v>41</v>
      </c>
      <c r="H30" s="76">
        <f>IF(G30='Tablas AR'!$B$10,1,IF('Análisis de Riesgos'!G30='Tablas AR'!$B$11,2,IF('Análisis de Riesgos'!G30='Tablas AR'!$B$12,3,"")))</f>
        <v>3</v>
      </c>
      <c r="I30" s="76">
        <f t="shared" si="1"/>
        <v>3</v>
      </c>
    </row>
    <row r="31" ht="14.25" customHeight="1">
      <c r="B31" s="56" t="s">
        <v>103</v>
      </c>
      <c r="C31" s="84"/>
      <c r="D31" s="82" t="s">
        <v>70</v>
      </c>
      <c r="E31" s="77" t="s">
        <v>41</v>
      </c>
      <c r="F31" s="76">
        <f>IF(E31='Tablas AR'!$B$4,1,IF('Análisis de Riesgos'!E31='Tablas AR'!$B$5,2,IF('Análisis de Riesgos'!E31='Tablas AR'!$B$6,3,"")))</f>
        <v>3</v>
      </c>
      <c r="G31" s="77" t="s">
        <v>39</v>
      </c>
      <c r="H31" s="76">
        <f>IF(G31='Tablas AR'!$B$10,1,IF('Análisis de Riesgos'!G31='Tablas AR'!$B$11,2,IF('Análisis de Riesgos'!G31='Tablas AR'!$B$12,3,"")))</f>
        <v>2</v>
      </c>
      <c r="I31" s="76">
        <f t="shared" si="1"/>
        <v>6</v>
      </c>
    </row>
    <row r="32" ht="14.25" customHeight="1">
      <c r="B32" s="56" t="s">
        <v>103</v>
      </c>
      <c r="C32" s="84"/>
      <c r="D32" s="82" t="s">
        <v>73</v>
      </c>
      <c r="E32" s="77" t="s">
        <v>37</v>
      </c>
      <c r="F32" s="76">
        <f>IF(E32='Tablas AR'!$B$4,1,IF('Análisis de Riesgos'!E32='Tablas AR'!$B$5,2,IF('Análisis de Riesgos'!E32='Tablas AR'!$B$6,3,"")))</f>
        <v>1</v>
      </c>
      <c r="G32" s="77" t="s">
        <v>41</v>
      </c>
      <c r="H32" s="76">
        <f>IF(G32='Tablas AR'!$B$10,1,IF('Análisis de Riesgos'!G32='Tablas AR'!$B$11,2,IF('Análisis de Riesgos'!G32='Tablas AR'!$B$12,3,"")))</f>
        <v>3</v>
      </c>
      <c r="I32" s="76">
        <f t="shared" si="1"/>
        <v>3</v>
      </c>
    </row>
    <row r="33" ht="14.25" customHeight="1">
      <c r="B33" s="56" t="s">
        <v>103</v>
      </c>
      <c r="C33" s="84"/>
      <c r="D33" s="82" t="s">
        <v>76</v>
      </c>
      <c r="E33" s="76"/>
      <c r="F33" s="76" t="str">
        <f>IF(E33='Tablas AR'!$B$4,1,IF('Análisis de Riesgos'!E33='Tablas AR'!$B$5,2,IF('Análisis de Riesgos'!E33='Tablas AR'!$B$6,3,"")))</f>
        <v/>
      </c>
      <c r="G33" s="76"/>
      <c r="H33" s="76" t="str">
        <f>IF(G33='Tablas AR'!$B$10,1,IF('Análisis de Riesgos'!G33='Tablas AR'!$B$11,2,IF('Análisis de Riesgos'!G33='Tablas AR'!$B$12,3,"")))</f>
        <v/>
      </c>
      <c r="I33" s="76">
        <f t="shared" si="1"/>
        <v>0</v>
      </c>
    </row>
    <row r="34" ht="14.25" customHeight="1">
      <c r="B34" s="60" t="s">
        <v>105</v>
      </c>
      <c r="C34" s="84"/>
      <c r="D34" s="45" t="s">
        <v>57</v>
      </c>
      <c r="E34" s="77" t="s">
        <v>37</v>
      </c>
      <c r="F34" s="76">
        <f>IF(E34='Tablas AR'!$B$4,1,IF('Análisis de Riesgos'!E34='Tablas AR'!$B$5,2,IF('Análisis de Riesgos'!E34='Tablas AR'!$B$6,3,"")))</f>
        <v>1</v>
      </c>
      <c r="G34" s="77" t="s">
        <v>37</v>
      </c>
      <c r="H34" s="76">
        <f>IF(G34='Tablas AR'!$B$10,1,IF('Análisis de Riesgos'!G34='Tablas AR'!$B$11,2,IF('Análisis de Riesgos'!G34='Tablas AR'!$B$12,3,"")))</f>
        <v>1</v>
      </c>
      <c r="I34" s="76">
        <f t="shared" si="1"/>
        <v>1</v>
      </c>
    </row>
    <row r="35" ht="14.25" customHeight="1">
      <c r="B35" s="60" t="s">
        <v>105</v>
      </c>
      <c r="C35" s="84"/>
      <c r="D35" s="45" t="s">
        <v>59</v>
      </c>
      <c r="E35" s="77" t="s">
        <v>37</v>
      </c>
      <c r="F35" s="76">
        <f>IF(E35='Tablas AR'!$B$4,1,IF('Análisis de Riesgos'!E35='Tablas AR'!$B$5,2,IF('Análisis de Riesgos'!E35='Tablas AR'!$B$6,3,"")))</f>
        <v>1</v>
      </c>
      <c r="G35" s="77" t="s">
        <v>37</v>
      </c>
      <c r="H35" s="76">
        <f>IF(G35='Tablas AR'!$B$10,1,IF('Análisis de Riesgos'!G35='Tablas AR'!$B$11,2,IF('Análisis de Riesgos'!G35='Tablas AR'!$B$12,3,"")))</f>
        <v>1</v>
      </c>
      <c r="I35" s="76">
        <f t="shared" si="1"/>
        <v>1</v>
      </c>
    </row>
    <row r="36" ht="14.25" customHeight="1">
      <c r="B36" s="60" t="s">
        <v>105</v>
      </c>
      <c r="C36" s="84"/>
      <c r="D36" s="45" t="s">
        <v>62</v>
      </c>
      <c r="E36" s="77" t="s">
        <v>37</v>
      </c>
      <c r="F36" s="76">
        <f>IF(E36='Tablas AR'!$B$4,1,IF('Análisis de Riesgos'!E36='Tablas AR'!$B$5,2,IF('Análisis de Riesgos'!E36='Tablas AR'!$B$6,3,"")))</f>
        <v>1</v>
      </c>
      <c r="G36" s="77" t="s">
        <v>37</v>
      </c>
      <c r="H36" s="76">
        <f>IF(G36='Tablas AR'!$B$10,1,IF('Análisis de Riesgos'!G36='Tablas AR'!$B$11,2,IF('Análisis de Riesgos'!G36='Tablas AR'!$B$12,3,"")))</f>
        <v>1</v>
      </c>
      <c r="I36" s="76">
        <f t="shared" si="1"/>
        <v>1</v>
      </c>
    </row>
    <row r="37" ht="14.25" customHeight="1">
      <c r="B37" s="60" t="s">
        <v>105</v>
      </c>
      <c r="C37" s="84"/>
      <c r="D37" s="48" t="s">
        <v>25</v>
      </c>
      <c r="E37" s="77" t="s">
        <v>39</v>
      </c>
      <c r="F37" s="76">
        <f>IF(E37='Tablas AR'!$B$4,1,IF('Análisis de Riesgos'!E37='Tablas AR'!$B$5,2,IF('Análisis de Riesgos'!E37='Tablas AR'!$B$6,3,"")))</f>
        <v>2</v>
      </c>
      <c r="G37" s="77" t="s">
        <v>39</v>
      </c>
      <c r="H37" s="76">
        <f>IF(G37='Tablas AR'!$B$10,1,IF('Análisis de Riesgos'!G37='Tablas AR'!$B$11,2,IF('Análisis de Riesgos'!G37='Tablas AR'!$B$12,3,"")))</f>
        <v>2</v>
      </c>
      <c r="I37" s="76">
        <f t="shared" si="1"/>
        <v>4</v>
      </c>
    </row>
    <row r="38" ht="14.25" customHeight="1">
      <c r="B38" s="60" t="s">
        <v>105</v>
      </c>
      <c r="C38" s="84"/>
      <c r="D38" s="48" t="s">
        <v>67</v>
      </c>
      <c r="E38" s="77" t="s">
        <v>39</v>
      </c>
      <c r="F38" s="76">
        <f>IF(E38='Tablas AR'!$B$4,1,IF('Análisis de Riesgos'!E38='Tablas AR'!$B$5,2,IF('Análisis de Riesgos'!E38='Tablas AR'!$B$6,3,"")))</f>
        <v>2</v>
      </c>
      <c r="G38" s="77" t="s">
        <v>39</v>
      </c>
      <c r="H38" s="76">
        <f>IF(G38='Tablas AR'!$B$10,1,IF('Análisis de Riesgos'!G38='Tablas AR'!$B$11,2,IF('Análisis de Riesgos'!G38='Tablas AR'!$B$12,3,"")))</f>
        <v>2</v>
      </c>
      <c r="I38" s="76">
        <f t="shared" si="1"/>
        <v>4</v>
      </c>
    </row>
    <row r="39" ht="14.25" customHeight="1">
      <c r="B39" s="60" t="s">
        <v>105</v>
      </c>
      <c r="C39" s="84"/>
      <c r="D39" s="48" t="s">
        <v>69</v>
      </c>
      <c r="E39" s="77" t="s">
        <v>39</v>
      </c>
      <c r="F39" s="76">
        <f>IF(E39='Tablas AR'!$B$4,1,IF('Análisis de Riesgos'!E39='Tablas AR'!$B$5,2,IF('Análisis de Riesgos'!E39='Tablas AR'!$B$6,3,"")))</f>
        <v>2</v>
      </c>
      <c r="G39" s="77" t="s">
        <v>39</v>
      </c>
      <c r="H39" s="76">
        <f>IF(G39='Tablas AR'!$B$10,1,IF('Análisis de Riesgos'!G39='Tablas AR'!$B$11,2,IF('Análisis de Riesgos'!G39='Tablas AR'!$B$12,3,"")))</f>
        <v>2</v>
      </c>
      <c r="I39" s="76">
        <f t="shared" si="1"/>
        <v>4</v>
      </c>
    </row>
    <row r="40" ht="14.25" customHeight="1">
      <c r="B40" s="60" t="s">
        <v>105</v>
      </c>
      <c r="C40" s="84"/>
      <c r="D40" s="48" t="s">
        <v>71</v>
      </c>
      <c r="E40" s="77" t="s">
        <v>39</v>
      </c>
      <c r="F40" s="76">
        <f>IF(E40='Tablas AR'!$B$4,1,IF('Análisis de Riesgos'!E40='Tablas AR'!$B$5,2,IF('Análisis de Riesgos'!E40='Tablas AR'!$B$6,3,"")))</f>
        <v>2</v>
      </c>
      <c r="G40" s="77" t="s">
        <v>39</v>
      </c>
      <c r="H40" s="76">
        <f>IF(G40='Tablas AR'!$B$10,1,IF('Análisis de Riesgos'!G40='Tablas AR'!$B$11,2,IF('Análisis de Riesgos'!G40='Tablas AR'!$B$12,3,"")))</f>
        <v>2</v>
      </c>
      <c r="I40" s="76">
        <f t="shared" si="1"/>
        <v>4</v>
      </c>
    </row>
    <row r="41" ht="14.25" customHeight="1">
      <c r="B41" s="60" t="s">
        <v>105</v>
      </c>
      <c r="C41" s="84"/>
      <c r="D41" s="48" t="s">
        <v>74</v>
      </c>
      <c r="E41" s="77" t="s">
        <v>39</v>
      </c>
      <c r="F41" s="76">
        <f>IF(E41='Tablas AR'!$B$4,1,IF('Análisis de Riesgos'!E41='Tablas AR'!$B$5,2,IF('Análisis de Riesgos'!E41='Tablas AR'!$B$6,3,"")))</f>
        <v>2</v>
      </c>
      <c r="G41" s="77" t="s">
        <v>39</v>
      </c>
      <c r="H41" s="76">
        <f>IF(G41='Tablas AR'!$B$10,1,IF('Análisis de Riesgos'!G41='Tablas AR'!$B$11,2,IF('Análisis de Riesgos'!G41='Tablas AR'!$B$12,3,"")))</f>
        <v>2</v>
      </c>
      <c r="I41" s="76">
        <f t="shared" si="1"/>
        <v>4</v>
      </c>
      <c r="P41" s="79" t="s">
        <v>121</v>
      </c>
    </row>
    <row r="42" ht="14.25" customHeight="1">
      <c r="B42" s="60" t="s">
        <v>105</v>
      </c>
      <c r="C42" s="84"/>
      <c r="D42" s="48" t="s">
        <v>77</v>
      </c>
      <c r="E42" s="77" t="s">
        <v>39</v>
      </c>
      <c r="F42" s="76">
        <f>IF(E42='Tablas AR'!$B$4,1,IF('Análisis de Riesgos'!E42='Tablas AR'!$B$5,2,IF('Análisis de Riesgos'!E42='Tablas AR'!$B$6,3,"")))</f>
        <v>2</v>
      </c>
      <c r="G42" s="77" t="s">
        <v>39</v>
      </c>
      <c r="H42" s="76">
        <f>IF(G42='Tablas AR'!$B$10,1,IF('Análisis de Riesgos'!G42='Tablas AR'!$B$11,2,IF('Análisis de Riesgos'!G42='Tablas AR'!$B$12,3,"")))</f>
        <v>2</v>
      </c>
      <c r="I42" s="76">
        <f t="shared" si="1"/>
        <v>4</v>
      </c>
      <c r="P42" s="79" t="s">
        <v>122</v>
      </c>
    </row>
    <row r="43" ht="14.25" customHeight="1">
      <c r="B43" s="60" t="s">
        <v>105</v>
      </c>
      <c r="C43" s="84"/>
      <c r="D43" s="78" t="s">
        <v>31</v>
      </c>
      <c r="E43" s="77" t="s">
        <v>37</v>
      </c>
      <c r="F43" s="76">
        <f>IF(E43='Tablas AR'!$B$4,1,IF('Análisis de Riesgos'!E43='Tablas AR'!$B$5,2,IF('Análisis de Riesgos'!E43='Tablas AR'!$B$6,3,"")))</f>
        <v>1</v>
      </c>
      <c r="G43" s="77" t="s">
        <v>37</v>
      </c>
      <c r="H43" s="76">
        <f>IF(G43='Tablas AR'!$B$10,1,IF('Análisis de Riesgos'!G43='Tablas AR'!$B$11,2,IF('Análisis de Riesgos'!G43='Tablas AR'!$B$12,3,"")))</f>
        <v>1</v>
      </c>
      <c r="I43" s="76">
        <f t="shared" si="1"/>
        <v>1</v>
      </c>
    </row>
    <row r="44" ht="14.25" customHeight="1">
      <c r="B44" s="60" t="s">
        <v>105</v>
      </c>
      <c r="C44" s="84"/>
      <c r="D44" s="78" t="s">
        <v>60</v>
      </c>
      <c r="E44" s="77" t="s">
        <v>37</v>
      </c>
      <c r="F44" s="76">
        <f>IF(E44='Tablas AR'!$B$4,1,IF('Análisis de Riesgos'!E44='Tablas AR'!$B$5,2,IF('Análisis de Riesgos'!E44='Tablas AR'!$B$6,3,"")))</f>
        <v>1</v>
      </c>
      <c r="G44" s="77" t="s">
        <v>37</v>
      </c>
      <c r="H44" s="76">
        <f>IF(G44='Tablas AR'!$B$10,1,IF('Análisis de Riesgos'!G44='Tablas AR'!$B$11,2,IF('Análisis de Riesgos'!G44='Tablas AR'!$B$12,3,"")))</f>
        <v>1</v>
      </c>
      <c r="I44" s="76">
        <f t="shared" si="1"/>
        <v>1</v>
      </c>
    </row>
    <row r="45" ht="14.25" customHeight="1">
      <c r="B45" s="60" t="s">
        <v>105</v>
      </c>
      <c r="C45" s="84"/>
      <c r="D45" s="78" t="s">
        <v>63</v>
      </c>
      <c r="E45" s="77" t="s">
        <v>39</v>
      </c>
      <c r="F45" s="76">
        <f>IF(E45='Tablas AR'!$B$4,1,IF('Análisis de Riesgos'!E45='Tablas AR'!$B$5,2,IF('Análisis de Riesgos'!E45='Tablas AR'!$B$6,3,"")))</f>
        <v>2</v>
      </c>
      <c r="G45" s="77" t="s">
        <v>39</v>
      </c>
      <c r="H45" s="76">
        <f>IF(G45='Tablas AR'!$B$10,1,IF('Análisis de Riesgos'!G45='Tablas AR'!$B$11,2,IF('Análisis de Riesgos'!G45='Tablas AR'!$B$12,3,"")))</f>
        <v>2</v>
      </c>
      <c r="I45" s="76">
        <f t="shared" si="1"/>
        <v>4</v>
      </c>
    </row>
    <row r="46" ht="14.25" customHeight="1">
      <c r="B46" s="60" t="s">
        <v>105</v>
      </c>
      <c r="C46" s="84"/>
      <c r="D46" s="78" t="s">
        <v>65</v>
      </c>
      <c r="E46" s="77" t="s">
        <v>39</v>
      </c>
      <c r="F46" s="76">
        <f>IF(E46='Tablas AR'!$B$4,1,IF('Análisis de Riesgos'!E46='Tablas AR'!$B$5,2,IF('Análisis de Riesgos'!E46='Tablas AR'!$B$6,3,"")))</f>
        <v>2</v>
      </c>
      <c r="G46" s="77" t="s">
        <v>39</v>
      </c>
      <c r="H46" s="76">
        <f>IF(G46='Tablas AR'!$B$10,1,IF('Análisis de Riesgos'!G46='Tablas AR'!$B$11,2,IF('Análisis de Riesgos'!G46='Tablas AR'!$B$12,3,"")))</f>
        <v>2</v>
      </c>
      <c r="I46" s="76">
        <f t="shared" si="1"/>
        <v>4</v>
      </c>
    </row>
    <row r="47" ht="14.25" customHeight="1">
      <c r="B47" s="60" t="s">
        <v>105</v>
      </c>
      <c r="C47" s="84"/>
      <c r="D47" s="78" t="s">
        <v>66</v>
      </c>
      <c r="E47" s="77" t="s">
        <v>37</v>
      </c>
      <c r="F47" s="76">
        <f>IF(E47='Tablas AR'!$B$4,1,IF('Análisis de Riesgos'!E47='Tablas AR'!$B$5,2,IF('Análisis de Riesgos'!E47='Tablas AR'!$B$6,3,"")))</f>
        <v>1</v>
      </c>
      <c r="G47" s="77" t="s">
        <v>37</v>
      </c>
      <c r="H47" s="76">
        <f>IF(G47='Tablas AR'!$B$10,1,IF('Análisis de Riesgos'!G47='Tablas AR'!$B$11,2,IF('Análisis de Riesgos'!G47='Tablas AR'!$B$12,3,"")))</f>
        <v>1</v>
      </c>
      <c r="I47" s="76">
        <f t="shared" si="1"/>
        <v>1</v>
      </c>
    </row>
    <row r="48" ht="14.25" customHeight="1">
      <c r="B48" s="60" t="s">
        <v>105</v>
      </c>
      <c r="C48" s="84"/>
      <c r="D48" s="80" t="s">
        <v>26</v>
      </c>
      <c r="E48" s="77" t="s">
        <v>37</v>
      </c>
      <c r="F48" s="76">
        <f>IF(E48='Tablas AR'!$B$4,1,IF('Análisis de Riesgos'!E48='Tablas AR'!$B$5,2,IF('Análisis de Riesgos'!E48='Tablas AR'!$B$6,3,"")))</f>
        <v>1</v>
      </c>
      <c r="G48" s="77" t="s">
        <v>37</v>
      </c>
      <c r="H48" s="76">
        <f>IF(G48='Tablas AR'!$B$10,1,IF('Análisis de Riesgos'!G48='Tablas AR'!$B$11,2,IF('Análisis de Riesgos'!G48='Tablas AR'!$B$12,3,"")))</f>
        <v>1</v>
      </c>
      <c r="I48" s="76">
        <f t="shared" si="1"/>
        <v>1</v>
      </c>
    </row>
    <row r="49" ht="14.25" customHeight="1">
      <c r="B49" s="60" t="s">
        <v>105</v>
      </c>
      <c r="C49" s="84"/>
      <c r="D49" s="80" t="s">
        <v>72</v>
      </c>
      <c r="E49" s="77" t="s">
        <v>37</v>
      </c>
      <c r="F49" s="76">
        <f>IF(E49='Tablas AR'!$B$4,1,IF('Análisis de Riesgos'!E49='Tablas AR'!$B$5,2,IF('Análisis de Riesgos'!E49='Tablas AR'!$B$6,3,"")))</f>
        <v>1</v>
      </c>
      <c r="G49" s="77" t="s">
        <v>37</v>
      </c>
      <c r="H49" s="76">
        <f>IF(G49='Tablas AR'!$B$10,1,IF('Análisis de Riesgos'!G49='Tablas AR'!$B$11,2,IF('Análisis de Riesgos'!G49='Tablas AR'!$B$12,3,"")))</f>
        <v>1</v>
      </c>
      <c r="I49" s="76">
        <f t="shared" si="1"/>
        <v>1</v>
      </c>
    </row>
    <row r="50" ht="14.25" customHeight="1">
      <c r="B50" s="60" t="s">
        <v>105</v>
      </c>
      <c r="C50" s="84"/>
      <c r="D50" s="80" t="s">
        <v>75</v>
      </c>
      <c r="E50" s="77" t="s">
        <v>39</v>
      </c>
      <c r="F50" s="76">
        <f>IF(E50='Tablas AR'!$B$4,1,IF('Análisis de Riesgos'!E50='Tablas AR'!$B$5,2,IF('Análisis de Riesgos'!E50='Tablas AR'!$B$6,3,"")))</f>
        <v>2</v>
      </c>
      <c r="G50" s="77" t="s">
        <v>39</v>
      </c>
      <c r="H50" s="76">
        <f>IF(G50='Tablas AR'!$B$10,1,IF('Análisis de Riesgos'!G50='Tablas AR'!$B$11,2,IF('Análisis de Riesgos'!G50='Tablas AR'!$B$12,3,"")))</f>
        <v>2</v>
      </c>
      <c r="I50" s="76">
        <f t="shared" si="1"/>
        <v>4</v>
      </c>
    </row>
    <row r="51" ht="14.25" customHeight="1">
      <c r="B51" s="60" t="s">
        <v>105</v>
      </c>
      <c r="C51" s="84"/>
      <c r="D51" s="80" t="s">
        <v>78</v>
      </c>
      <c r="E51" s="77" t="s">
        <v>39</v>
      </c>
      <c r="F51" s="76">
        <f>IF(E51='Tablas AR'!$B$4,1,IF('Análisis de Riesgos'!E51='Tablas AR'!$B$5,2,IF('Análisis de Riesgos'!E51='Tablas AR'!$B$6,3,"")))</f>
        <v>2</v>
      </c>
      <c r="G51" s="77" t="s">
        <v>39</v>
      </c>
      <c r="H51" s="76">
        <f>IF(G51='Tablas AR'!$B$10,1,IF('Análisis de Riesgos'!G51='Tablas AR'!$B$11,2,IF('Análisis de Riesgos'!G51='Tablas AR'!$B$12,3,"")))</f>
        <v>2</v>
      </c>
      <c r="I51" s="76">
        <f t="shared" si="1"/>
        <v>4</v>
      </c>
    </row>
    <row r="52" ht="14.25" customHeight="1">
      <c r="B52" s="60" t="s">
        <v>105</v>
      </c>
      <c r="C52" s="84"/>
      <c r="D52" s="80" t="s">
        <v>28</v>
      </c>
      <c r="E52" s="77" t="s">
        <v>37</v>
      </c>
      <c r="F52" s="76">
        <f>IF(E52='Tablas AR'!$B$4,1,IF('Análisis de Riesgos'!E52='Tablas AR'!$B$5,2,IF('Análisis de Riesgos'!E52='Tablas AR'!$B$6,3,"")))</f>
        <v>1</v>
      </c>
      <c r="G52" s="77" t="s">
        <v>37</v>
      </c>
      <c r="H52" s="76">
        <f>IF(G52='Tablas AR'!$B$10,1,IF('Análisis de Riesgos'!G52='Tablas AR'!$B$11,2,IF('Análisis de Riesgos'!G52='Tablas AR'!$B$12,3,"")))</f>
        <v>1</v>
      </c>
      <c r="I52" s="76">
        <f t="shared" si="1"/>
        <v>1</v>
      </c>
    </row>
    <row r="53" ht="14.25" customHeight="1">
      <c r="B53" s="60" t="s">
        <v>105</v>
      </c>
      <c r="C53" s="84"/>
      <c r="D53" s="80" t="s">
        <v>79</v>
      </c>
      <c r="E53" s="77" t="s">
        <v>37</v>
      </c>
      <c r="F53" s="76">
        <f>IF(E53='Tablas AR'!$B$4,1,IF('Análisis de Riesgos'!E53='Tablas AR'!$B$5,2,IF('Análisis de Riesgos'!E53='Tablas AR'!$B$6,3,"")))</f>
        <v>1</v>
      </c>
      <c r="G53" s="77" t="s">
        <v>37</v>
      </c>
      <c r="H53" s="76">
        <f>IF(G53='Tablas AR'!$B$10,1,IF('Análisis de Riesgos'!G53='Tablas AR'!$B$11,2,IF('Análisis de Riesgos'!G53='Tablas AR'!$B$12,3,"")))</f>
        <v>1</v>
      </c>
      <c r="I53" s="76">
        <f t="shared" si="1"/>
        <v>1</v>
      </c>
    </row>
    <row r="54" ht="14.25" customHeight="1">
      <c r="B54" s="60" t="s">
        <v>105</v>
      </c>
      <c r="C54" s="84"/>
      <c r="D54" s="80" t="s">
        <v>70</v>
      </c>
      <c r="E54" s="77" t="s">
        <v>37</v>
      </c>
      <c r="F54" s="76">
        <f>IF(E54='Tablas AR'!$B$4,1,IF('Análisis de Riesgos'!E54='Tablas AR'!$B$5,2,IF('Análisis de Riesgos'!E54='Tablas AR'!$B$6,3,"")))</f>
        <v>1</v>
      </c>
      <c r="G54" s="77" t="s">
        <v>37</v>
      </c>
      <c r="H54" s="76">
        <f>IF(G54='Tablas AR'!$B$10,1,IF('Análisis de Riesgos'!G54='Tablas AR'!$B$11,2,IF('Análisis de Riesgos'!G54='Tablas AR'!$B$12,3,"")))</f>
        <v>1</v>
      </c>
      <c r="I54" s="76">
        <f t="shared" si="1"/>
        <v>1</v>
      </c>
    </row>
    <row r="55" ht="14.25" customHeight="1">
      <c r="B55" s="60" t="s">
        <v>105</v>
      </c>
      <c r="C55" s="84"/>
      <c r="D55" s="80" t="s">
        <v>80</v>
      </c>
      <c r="E55" s="77" t="s">
        <v>37</v>
      </c>
      <c r="F55" s="76">
        <f>IF(E55='Tablas AR'!$B$4,1,IF('Análisis de Riesgos'!E55='Tablas AR'!$B$5,2,IF('Análisis de Riesgos'!E55='Tablas AR'!$B$6,3,"")))</f>
        <v>1</v>
      </c>
      <c r="G55" s="77" t="s">
        <v>37</v>
      </c>
      <c r="H55" s="76">
        <f>IF(G55='Tablas AR'!$B$10,1,IF('Análisis de Riesgos'!G55='Tablas AR'!$B$11,2,IF('Análisis de Riesgos'!G55='Tablas AR'!$B$12,3,"")))</f>
        <v>1</v>
      </c>
      <c r="I55" s="76">
        <f t="shared" si="1"/>
        <v>1</v>
      </c>
    </row>
    <row r="56" ht="14.25" customHeight="1">
      <c r="B56" s="60" t="s">
        <v>105</v>
      </c>
      <c r="C56" s="84"/>
      <c r="D56" s="80" t="s">
        <v>81</v>
      </c>
      <c r="E56" s="77" t="s">
        <v>37</v>
      </c>
      <c r="F56" s="76">
        <f>IF(E56='Tablas AR'!$B$4,1,IF('Análisis de Riesgos'!E56='Tablas AR'!$B$5,2,IF('Análisis de Riesgos'!E56='Tablas AR'!$B$6,3,"")))</f>
        <v>1</v>
      </c>
      <c r="G56" s="77" t="s">
        <v>37</v>
      </c>
      <c r="H56" s="76">
        <f>IF(G56='Tablas AR'!$B$10,1,IF('Análisis de Riesgos'!G56='Tablas AR'!$B$11,2,IF('Análisis de Riesgos'!G56='Tablas AR'!$B$12,3,"")))</f>
        <v>1</v>
      </c>
      <c r="I56" s="76">
        <f t="shared" si="1"/>
        <v>1</v>
      </c>
    </row>
    <row r="57" ht="14.25" customHeight="1">
      <c r="B57" s="60" t="s">
        <v>105</v>
      </c>
      <c r="C57" s="84"/>
      <c r="D57" s="81" t="s">
        <v>58</v>
      </c>
      <c r="E57" s="77" t="s">
        <v>37</v>
      </c>
      <c r="F57" s="76">
        <f>IF(E57='Tablas AR'!$B$4,1,IF('Análisis de Riesgos'!E57='Tablas AR'!$B$5,2,IF('Análisis de Riesgos'!E57='Tablas AR'!$B$6,3,"")))</f>
        <v>1</v>
      </c>
      <c r="G57" s="77" t="s">
        <v>37</v>
      </c>
      <c r="H57" s="76">
        <f>IF(G57='Tablas AR'!$B$10,1,IF('Análisis de Riesgos'!G57='Tablas AR'!$B$11,2,IF('Análisis de Riesgos'!G57='Tablas AR'!$B$12,3,"")))</f>
        <v>1</v>
      </c>
      <c r="I57" s="76">
        <f t="shared" si="1"/>
        <v>1</v>
      </c>
    </row>
    <row r="58" ht="14.25" customHeight="1">
      <c r="B58" s="60" t="s">
        <v>105</v>
      </c>
      <c r="C58" s="84"/>
      <c r="D58" s="81" t="s">
        <v>61</v>
      </c>
      <c r="E58" s="77" t="s">
        <v>39</v>
      </c>
      <c r="F58" s="76">
        <f>IF(E58='Tablas AR'!$B$4,1,IF('Análisis de Riesgos'!E58='Tablas AR'!$B$5,2,IF('Análisis de Riesgos'!E58='Tablas AR'!$B$6,3,"")))</f>
        <v>2</v>
      </c>
      <c r="G58" s="77" t="s">
        <v>41</v>
      </c>
      <c r="H58" s="76">
        <f>IF(G58='Tablas AR'!$B$10,1,IF('Análisis de Riesgos'!G58='Tablas AR'!$B$11,2,IF('Análisis de Riesgos'!G58='Tablas AR'!$B$12,3,"")))</f>
        <v>3</v>
      </c>
      <c r="I58" s="76">
        <f t="shared" si="1"/>
        <v>6</v>
      </c>
    </row>
    <row r="59" ht="14.25" customHeight="1">
      <c r="B59" s="60" t="s">
        <v>105</v>
      </c>
      <c r="C59" s="84"/>
      <c r="D59" s="81" t="s">
        <v>64</v>
      </c>
      <c r="E59" s="77" t="s">
        <v>39</v>
      </c>
      <c r="F59" s="76">
        <f>IF(E59='Tablas AR'!$B$4,1,IF('Análisis de Riesgos'!E59='Tablas AR'!$B$5,2,IF('Análisis de Riesgos'!E59='Tablas AR'!$B$6,3,"")))</f>
        <v>2</v>
      </c>
      <c r="G59" s="77" t="s">
        <v>41</v>
      </c>
      <c r="H59" s="76">
        <f>IF(G59='Tablas AR'!$B$10,1,IF('Análisis de Riesgos'!G59='Tablas AR'!$B$11,2,IF('Análisis de Riesgos'!G59='Tablas AR'!$B$12,3,"")))</f>
        <v>3</v>
      </c>
      <c r="I59" s="76">
        <f t="shared" si="1"/>
        <v>6</v>
      </c>
    </row>
    <row r="60" ht="14.25" customHeight="1">
      <c r="B60" s="60" t="s">
        <v>105</v>
      </c>
      <c r="C60" s="84"/>
      <c r="D60" s="82" t="s">
        <v>29</v>
      </c>
      <c r="E60" s="77" t="s">
        <v>41</v>
      </c>
      <c r="F60" s="76">
        <f>IF(E60='Tablas AR'!$B$4,1,IF('Análisis de Riesgos'!E60='Tablas AR'!$B$5,2,IF('Análisis de Riesgos'!E60='Tablas AR'!$B$6,3,"")))</f>
        <v>3</v>
      </c>
      <c r="G60" s="77" t="s">
        <v>41</v>
      </c>
      <c r="H60" s="76">
        <f>IF(G60='Tablas AR'!$B$10,1,IF('Análisis de Riesgos'!G60='Tablas AR'!$B$11,2,IF('Análisis de Riesgos'!G60='Tablas AR'!$B$12,3,"")))</f>
        <v>3</v>
      </c>
      <c r="I60" s="76">
        <f t="shared" si="1"/>
        <v>9</v>
      </c>
    </row>
    <row r="61" ht="14.25" customHeight="1">
      <c r="B61" s="60" t="s">
        <v>105</v>
      </c>
      <c r="C61" s="84"/>
      <c r="D61" s="82" t="s">
        <v>68</v>
      </c>
      <c r="E61" s="77" t="s">
        <v>39</v>
      </c>
      <c r="F61" s="76">
        <f>IF(E61='Tablas AR'!$B$4,1,IF('Análisis de Riesgos'!E61='Tablas AR'!$B$5,2,IF('Análisis de Riesgos'!E61='Tablas AR'!$B$6,3,"")))</f>
        <v>2</v>
      </c>
      <c r="G61" s="77" t="s">
        <v>39</v>
      </c>
      <c r="H61" s="76">
        <f>IF(G61='Tablas AR'!$B$10,1,IF('Análisis de Riesgos'!G61='Tablas AR'!$B$11,2,IF('Análisis de Riesgos'!G61='Tablas AR'!$B$12,3,"")))</f>
        <v>2</v>
      </c>
      <c r="I61" s="76">
        <f t="shared" si="1"/>
        <v>4</v>
      </c>
    </row>
    <row r="62" ht="14.25" customHeight="1">
      <c r="B62" s="60" t="s">
        <v>105</v>
      </c>
      <c r="C62" s="84"/>
      <c r="D62" s="82" t="s">
        <v>70</v>
      </c>
      <c r="E62" s="77" t="s">
        <v>37</v>
      </c>
      <c r="F62" s="76">
        <f>IF(E62='Tablas AR'!$B$4,1,IF('Análisis de Riesgos'!E62='Tablas AR'!$B$5,2,IF('Análisis de Riesgos'!E62='Tablas AR'!$B$6,3,"")))</f>
        <v>1</v>
      </c>
      <c r="G62" s="77" t="s">
        <v>37</v>
      </c>
      <c r="H62" s="76">
        <f>IF(G62='Tablas AR'!$B$10,1,IF('Análisis de Riesgos'!G62='Tablas AR'!$B$11,2,IF('Análisis de Riesgos'!G62='Tablas AR'!$B$12,3,"")))</f>
        <v>1</v>
      </c>
      <c r="I62" s="76">
        <f t="shared" si="1"/>
        <v>1</v>
      </c>
    </row>
    <row r="63" ht="14.25" customHeight="1">
      <c r="B63" s="60"/>
      <c r="C63" s="84"/>
      <c r="D63" s="82"/>
      <c r="E63" s="77"/>
      <c r="F63" s="76"/>
      <c r="G63" s="77"/>
      <c r="H63" s="76" t="str">
        <f>IF(G63='Tablas AR'!$B$10,1,IF('Análisis de Riesgos'!G63='Tablas AR'!$B$11,2,IF('Análisis de Riesgos'!G63='Tablas AR'!$B$12,3,"")))</f>
        <v/>
      </c>
      <c r="I63" s="76">
        <f t="shared" si="1"/>
        <v>0</v>
      </c>
    </row>
    <row r="64" ht="14.25" customHeight="1">
      <c r="B64" s="60"/>
      <c r="C64" s="84"/>
      <c r="D64" s="82"/>
      <c r="E64" s="77"/>
      <c r="F64" s="76"/>
      <c r="G64" s="77"/>
      <c r="H64" s="76" t="str">
        <f>IF(G64='Tablas AR'!$B$10,1,IF('Análisis de Riesgos'!G64='Tablas AR'!$B$11,2,IF('Análisis de Riesgos'!G64='Tablas AR'!$B$12,3,"")))</f>
        <v/>
      </c>
      <c r="I64" s="76">
        <f t="shared" si="1"/>
        <v>0</v>
      </c>
    </row>
    <row r="65" ht="14.25" customHeight="1">
      <c r="B65" s="60" t="s">
        <v>107</v>
      </c>
      <c r="C65" s="84"/>
      <c r="D65" s="45" t="s">
        <v>57</v>
      </c>
      <c r="E65" s="77" t="s">
        <v>37</v>
      </c>
      <c r="F65" s="76">
        <f>IF(E65='Tablas AR'!$B$4,1,IF('Análisis de Riesgos'!E65='Tablas AR'!$B$5,2,IF('Análisis de Riesgos'!E65='Tablas AR'!$B$6,3,"")))</f>
        <v>1</v>
      </c>
      <c r="G65" s="77" t="s">
        <v>37</v>
      </c>
      <c r="H65" s="76">
        <f>IF(G65='Tablas AR'!$B$10,1,IF('Análisis de Riesgos'!G65='Tablas AR'!$B$11,2,IF('Análisis de Riesgos'!G65='Tablas AR'!$B$12,3,"")))</f>
        <v>1</v>
      </c>
      <c r="I65" s="76">
        <f t="shared" si="1"/>
        <v>1</v>
      </c>
    </row>
    <row r="66" ht="14.25" customHeight="1">
      <c r="B66" s="60" t="s">
        <v>107</v>
      </c>
      <c r="C66" s="84"/>
      <c r="D66" s="45" t="s">
        <v>59</v>
      </c>
      <c r="E66" s="77" t="s">
        <v>37</v>
      </c>
      <c r="F66" s="76">
        <f>IF(E66='Tablas AR'!$B$4,1,IF('Análisis de Riesgos'!E66='Tablas AR'!$B$5,2,IF('Análisis de Riesgos'!E66='Tablas AR'!$B$6,3,"")))</f>
        <v>1</v>
      </c>
      <c r="G66" s="77" t="s">
        <v>37</v>
      </c>
      <c r="H66" s="76">
        <f>IF(G66='Tablas AR'!$B$10,1,IF('Análisis de Riesgos'!G66='Tablas AR'!$B$11,2,IF('Análisis de Riesgos'!G66='Tablas AR'!$B$12,3,"")))</f>
        <v>1</v>
      </c>
      <c r="I66" s="76">
        <f t="shared" si="1"/>
        <v>1</v>
      </c>
    </row>
    <row r="67" ht="14.25" customHeight="1">
      <c r="B67" s="60" t="s">
        <v>107</v>
      </c>
      <c r="C67" s="84"/>
      <c r="D67" s="45" t="s">
        <v>62</v>
      </c>
      <c r="E67" s="77" t="s">
        <v>37</v>
      </c>
      <c r="F67" s="76">
        <f>IF(E67='Tablas AR'!$B$4,1,IF('Análisis de Riesgos'!E67='Tablas AR'!$B$5,2,IF('Análisis de Riesgos'!E67='Tablas AR'!$B$6,3,"")))</f>
        <v>1</v>
      </c>
      <c r="G67" s="77" t="s">
        <v>37</v>
      </c>
      <c r="H67" s="76">
        <f>IF(G67='Tablas AR'!$B$10,1,IF('Análisis de Riesgos'!G67='Tablas AR'!$B$11,2,IF('Análisis de Riesgos'!G67='Tablas AR'!$B$12,3,"")))</f>
        <v>1</v>
      </c>
      <c r="I67" s="76">
        <f t="shared" si="1"/>
        <v>1</v>
      </c>
    </row>
    <row r="68" ht="14.25" customHeight="1">
      <c r="B68" s="60" t="s">
        <v>107</v>
      </c>
      <c r="C68" s="84"/>
      <c r="D68" s="48" t="s">
        <v>25</v>
      </c>
      <c r="E68" s="77" t="s">
        <v>39</v>
      </c>
      <c r="F68" s="76">
        <f>IF(E68='Tablas AR'!$B$4,1,IF('Análisis de Riesgos'!E68='Tablas AR'!$B$5,2,IF('Análisis de Riesgos'!E68='Tablas AR'!$B$6,3,"")))</f>
        <v>2</v>
      </c>
      <c r="G68" s="77" t="s">
        <v>39</v>
      </c>
      <c r="H68" s="76">
        <f>IF(G68='Tablas AR'!$B$10,1,IF('Análisis de Riesgos'!G68='Tablas AR'!$B$11,2,IF('Análisis de Riesgos'!G68='Tablas AR'!$B$12,3,"")))</f>
        <v>2</v>
      </c>
      <c r="I68" s="76">
        <f t="shared" si="1"/>
        <v>4</v>
      </c>
    </row>
    <row r="69" ht="14.25" customHeight="1">
      <c r="B69" s="60" t="s">
        <v>107</v>
      </c>
      <c r="C69" s="84"/>
      <c r="D69" s="48" t="s">
        <v>67</v>
      </c>
      <c r="E69" s="77" t="s">
        <v>39</v>
      </c>
      <c r="F69" s="76">
        <f>IF(E69='Tablas AR'!$B$4,1,IF('Análisis de Riesgos'!E69='Tablas AR'!$B$5,2,IF('Análisis de Riesgos'!E69='Tablas AR'!$B$6,3,"")))</f>
        <v>2</v>
      </c>
      <c r="G69" s="77" t="s">
        <v>39</v>
      </c>
      <c r="H69" s="76">
        <f>IF(G69='Tablas AR'!$B$10,1,IF('Análisis de Riesgos'!G69='Tablas AR'!$B$11,2,IF('Análisis de Riesgos'!G69='Tablas AR'!$B$12,3,"")))</f>
        <v>2</v>
      </c>
      <c r="I69" s="76">
        <f t="shared" si="1"/>
        <v>4</v>
      </c>
    </row>
    <row r="70" ht="14.25" customHeight="1">
      <c r="B70" s="60" t="s">
        <v>107</v>
      </c>
      <c r="C70" s="84"/>
      <c r="D70" s="48" t="s">
        <v>69</v>
      </c>
      <c r="E70" s="77" t="s">
        <v>39</v>
      </c>
      <c r="F70" s="76">
        <f>IF(E70='Tablas AR'!$B$4,1,IF('Análisis de Riesgos'!E70='Tablas AR'!$B$5,2,IF('Análisis de Riesgos'!E70='Tablas AR'!$B$6,3,"")))</f>
        <v>2</v>
      </c>
      <c r="G70" s="77" t="s">
        <v>39</v>
      </c>
      <c r="H70" s="76">
        <f>IF(G70='Tablas AR'!$B$10,1,IF('Análisis de Riesgos'!G70='Tablas AR'!$B$11,2,IF('Análisis de Riesgos'!G70='Tablas AR'!$B$12,3,"")))</f>
        <v>2</v>
      </c>
      <c r="I70" s="76">
        <f t="shared" si="1"/>
        <v>4</v>
      </c>
    </row>
    <row r="71" ht="14.25" customHeight="1">
      <c r="B71" s="60" t="s">
        <v>107</v>
      </c>
      <c r="C71" s="84"/>
      <c r="D71" s="48" t="s">
        <v>71</v>
      </c>
      <c r="E71" s="77" t="s">
        <v>39</v>
      </c>
      <c r="F71" s="76">
        <f>IF(E71='Tablas AR'!$B$4,1,IF('Análisis de Riesgos'!E71='Tablas AR'!$B$5,2,IF('Análisis de Riesgos'!E71='Tablas AR'!$B$6,3,"")))</f>
        <v>2</v>
      </c>
      <c r="G71" s="77" t="s">
        <v>39</v>
      </c>
      <c r="H71" s="76">
        <f>IF(G71='Tablas AR'!$B$10,1,IF('Análisis de Riesgos'!G71='Tablas AR'!$B$11,2,IF('Análisis de Riesgos'!G71='Tablas AR'!$B$12,3,"")))</f>
        <v>2</v>
      </c>
      <c r="I71" s="76">
        <f t="shared" si="1"/>
        <v>4</v>
      </c>
    </row>
    <row r="72" ht="14.25" customHeight="1">
      <c r="B72" s="60" t="s">
        <v>107</v>
      </c>
      <c r="C72" s="84"/>
      <c r="D72" s="48" t="s">
        <v>74</v>
      </c>
      <c r="E72" s="77" t="s">
        <v>39</v>
      </c>
      <c r="F72" s="76">
        <f>IF(E72='Tablas AR'!$B$4,1,IF('Análisis de Riesgos'!E72='Tablas AR'!$B$5,2,IF('Análisis de Riesgos'!E72='Tablas AR'!$B$6,3,"")))</f>
        <v>2</v>
      </c>
      <c r="G72" s="77" t="s">
        <v>39</v>
      </c>
      <c r="H72" s="76">
        <f>IF(G72='Tablas AR'!$B$10,1,IF('Análisis de Riesgos'!G72='Tablas AR'!$B$11,2,IF('Análisis de Riesgos'!G72='Tablas AR'!$B$12,3,"")))</f>
        <v>2</v>
      </c>
      <c r="I72" s="76">
        <f t="shared" si="1"/>
        <v>4</v>
      </c>
    </row>
    <row r="73" ht="14.25" customHeight="1">
      <c r="B73" s="60" t="s">
        <v>107</v>
      </c>
      <c r="C73" s="84"/>
      <c r="D73" s="48" t="s">
        <v>77</v>
      </c>
      <c r="E73" s="77" t="s">
        <v>39</v>
      </c>
      <c r="F73" s="76">
        <f>IF(E73='Tablas AR'!$B$4,1,IF('Análisis de Riesgos'!E73='Tablas AR'!$B$5,2,IF('Análisis de Riesgos'!E73='Tablas AR'!$B$6,3,"")))</f>
        <v>2</v>
      </c>
      <c r="G73" s="77" t="s">
        <v>39</v>
      </c>
      <c r="H73" s="76">
        <f>IF(G73='Tablas AR'!$B$10,1,IF('Análisis de Riesgos'!G73='Tablas AR'!$B$11,2,IF('Análisis de Riesgos'!G73='Tablas AR'!$B$12,3,"")))</f>
        <v>2</v>
      </c>
      <c r="I73" s="76">
        <f t="shared" si="1"/>
        <v>4</v>
      </c>
    </row>
    <row r="74" ht="14.25" customHeight="1">
      <c r="B74" s="60" t="s">
        <v>107</v>
      </c>
      <c r="C74" s="84"/>
      <c r="D74" s="78" t="s">
        <v>31</v>
      </c>
      <c r="E74" s="77" t="s">
        <v>37</v>
      </c>
      <c r="F74" s="76">
        <f>IF(E74='Tablas AR'!$B$4,1,IF('Análisis de Riesgos'!E74='Tablas AR'!$B$5,2,IF('Análisis de Riesgos'!E74='Tablas AR'!$B$6,3,"")))</f>
        <v>1</v>
      </c>
      <c r="G74" s="77" t="s">
        <v>37</v>
      </c>
      <c r="H74" s="76">
        <f>IF(G74='Tablas AR'!$B$10,1,IF('Análisis de Riesgos'!G74='Tablas AR'!$B$11,2,IF('Análisis de Riesgos'!G74='Tablas AR'!$B$12,3,"")))</f>
        <v>1</v>
      </c>
      <c r="I74" s="76">
        <f t="shared" si="1"/>
        <v>1</v>
      </c>
    </row>
    <row r="75" ht="14.25" customHeight="1">
      <c r="B75" s="60" t="s">
        <v>107</v>
      </c>
      <c r="C75" s="84"/>
      <c r="D75" s="78" t="s">
        <v>60</v>
      </c>
      <c r="E75" s="77" t="s">
        <v>37</v>
      </c>
      <c r="F75" s="76">
        <f>IF(E75='Tablas AR'!$B$4,1,IF('Análisis de Riesgos'!E75='Tablas AR'!$B$5,2,IF('Análisis de Riesgos'!E75='Tablas AR'!$B$6,3,"")))</f>
        <v>1</v>
      </c>
      <c r="G75" s="77" t="s">
        <v>37</v>
      </c>
      <c r="H75" s="76">
        <f>IF(G75='Tablas AR'!$B$10,1,IF('Análisis de Riesgos'!G75='Tablas AR'!$B$11,2,IF('Análisis de Riesgos'!G75='Tablas AR'!$B$12,3,"")))</f>
        <v>1</v>
      </c>
      <c r="I75" s="76">
        <f t="shared" si="1"/>
        <v>1</v>
      </c>
    </row>
    <row r="76" ht="14.25" customHeight="1">
      <c r="B76" s="60" t="s">
        <v>107</v>
      </c>
      <c r="C76" s="84"/>
      <c r="D76" s="78" t="s">
        <v>63</v>
      </c>
      <c r="E76" s="77" t="s">
        <v>39</v>
      </c>
      <c r="F76" s="76">
        <f>IF(E76='Tablas AR'!$B$4,1,IF('Análisis de Riesgos'!E76='Tablas AR'!$B$5,2,IF('Análisis de Riesgos'!E76='Tablas AR'!$B$6,3,"")))</f>
        <v>2</v>
      </c>
      <c r="G76" s="77" t="s">
        <v>41</v>
      </c>
      <c r="H76" s="76">
        <f>IF(G76='Tablas AR'!$B$10,1,IF('Análisis de Riesgos'!G76='Tablas AR'!$B$11,2,IF('Análisis de Riesgos'!G76='Tablas AR'!$B$12,3,"")))</f>
        <v>3</v>
      </c>
      <c r="I76" s="76">
        <f t="shared" si="1"/>
        <v>6</v>
      </c>
    </row>
    <row r="77" ht="14.25" customHeight="1">
      <c r="B77" s="60" t="s">
        <v>107</v>
      </c>
      <c r="C77" s="84"/>
      <c r="D77" s="78" t="s">
        <v>65</v>
      </c>
      <c r="E77" s="77" t="s">
        <v>39</v>
      </c>
      <c r="F77" s="76">
        <f>IF(E77='Tablas AR'!$B$4,1,IF('Análisis de Riesgos'!E77='Tablas AR'!$B$5,2,IF('Análisis de Riesgos'!E77='Tablas AR'!$B$6,3,"")))</f>
        <v>2</v>
      </c>
      <c r="G77" s="77" t="s">
        <v>41</v>
      </c>
      <c r="H77" s="76">
        <f>IF(G77='Tablas AR'!$B$10,1,IF('Análisis de Riesgos'!G77='Tablas AR'!$B$11,2,IF('Análisis de Riesgos'!G77='Tablas AR'!$B$12,3,"")))</f>
        <v>3</v>
      </c>
      <c r="I77" s="76">
        <f t="shared" si="1"/>
        <v>6</v>
      </c>
    </row>
    <row r="78" ht="14.25" customHeight="1">
      <c r="B78" s="60" t="s">
        <v>107</v>
      </c>
      <c r="C78" s="84"/>
      <c r="D78" s="78" t="s">
        <v>66</v>
      </c>
      <c r="E78" s="77" t="s">
        <v>37</v>
      </c>
      <c r="F78" s="76">
        <f>IF(E78='Tablas AR'!$B$4,1,IF('Análisis de Riesgos'!E78='Tablas AR'!$B$5,2,IF('Análisis de Riesgos'!E78='Tablas AR'!$B$6,3,"")))</f>
        <v>1</v>
      </c>
      <c r="G78" s="77" t="s">
        <v>37</v>
      </c>
      <c r="H78" s="76">
        <f>IF(G78='Tablas AR'!$B$10,1,IF('Análisis de Riesgos'!G78='Tablas AR'!$B$11,2,IF('Análisis de Riesgos'!G78='Tablas AR'!$B$12,3,"")))</f>
        <v>1</v>
      </c>
      <c r="I78" s="76">
        <f t="shared" si="1"/>
        <v>1</v>
      </c>
    </row>
    <row r="79" ht="14.25" customHeight="1">
      <c r="B79" s="60" t="s">
        <v>107</v>
      </c>
      <c r="C79" s="84"/>
      <c r="D79" s="80" t="s">
        <v>26</v>
      </c>
      <c r="E79" s="77" t="s">
        <v>39</v>
      </c>
      <c r="F79" s="76">
        <f>IF(E79='Tablas AR'!$B$4,1,IF('Análisis de Riesgos'!E79='Tablas AR'!$B$5,2,IF('Análisis de Riesgos'!E79='Tablas AR'!$B$6,3,"")))</f>
        <v>2</v>
      </c>
      <c r="G79" s="77" t="s">
        <v>41</v>
      </c>
      <c r="H79" s="76">
        <f>IF(G79='Tablas AR'!$B$10,1,IF('Análisis de Riesgos'!G79='Tablas AR'!$B$11,2,IF('Análisis de Riesgos'!G79='Tablas AR'!$B$12,3,"")))</f>
        <v>3</v>
      </c>
      <c r="I79" s="76">
        <f t="shared" si="1"/>
        <v>6</v>
      </c>
    </row>
    <row r="80" ht="14.25" customHeight="1">
      <c r="B80" s="60" t="s">
        <v>107</v>
      </c>
      <c r="C80" s="84"/>
      <c r="D80" s="80" t="s">
        <v>72</v>
      </c>
      <c r="E80" s="77" t="s">
        <v>39</v>
      </c>
      <c r="F80" s="76">
        <f>IF(E80='Tablas AR'!$B$4,1,IF('Análisis de Riesgos'!E80='Tablas AR'!$B$5,2,IF('Análisis de Riesgos'!E80='Tablas AR'!$B$6,3,"")))</f>
        <v>2</v>
      </c>
      <c r="G80" s="77" t="s">
        <v>41</v>
      </c>
      <c r="H80" s="76">
        <f>IF(G80='Tablas AR'!$B$10,1,IF('Análisis de Riesgos'!G80='Tablas AR'!$B$11,2,IF('Análisis de Riesgos'!G80='Tablas AR'!$B$12,3,"")))</f>
        <v>3</v>
      </c>
      <c r="I80" s="76">
        <f t="shared" si="1"/>
        <v>6</v>
      </c>
    </row>
    <row r="81" ht="14.25" customHeight="1">
      <c r="B81" s="60" t="s">
        <v>107</v>
      </c>
      <c r="C81" s="84"/>
      <c r="D81" s="80" t="s">
        <v>75</v>
      </c>
      <c r="E81" s="77" t="s">
        <v>39</v>
      </c>
      <c r="F81" s="76">
        <f>IF(E81='Tablas AR'!$B$4,1,IF('Análisis de Riesgos'!E81='Tablas AR'!$B$5,2,IF('Análisis de Riesgos'!E81='Tablas AR'!$B$6,3,"")))</f>
        <v>2</v>
      </c>
      <c r="G81" s="77" t="s">
        <v>41</v>
      </c>
      <c r="H81" s="76">
        <f>IF(G81='Tablas AR'!$B$10,1,IF('Análisis de Riesgos'!G81='Tablas AR'!$B$11,2,IF('Análisis de Riesgos'!G81='Tablas AR'!$B$12,3,"")))</f>
        <v>3</v>
      </c>
      <c r="I81" s="76">
        <f t="shared" si="1"/>
        <v>6</v>
      </c>
    </row>
    <row r="82" ht="14.25" customHeight="1">
      <c r="B82" s="60" t="s">
        <v>107</v>
      </c>
      <c r="C82" s="84"/>
      <c r="D82" s="80" t="s">
        <v>78</v>
      </c>
      <c r="E82" s="77" t="s">
        <v>39</v>
      </c>
      <c r="F82" s="76">
        <f>IF(E82='Tablas AR'!$B$4,1,IF('Análisis de Riesgos'!E82='Tablas AR'!$B$5,2,IF('Análisis de Riesgos'!E82='Tablas AR'!$B$6,3,"")))</f>
        <v>2</v>
      </c>
      <c r="G82" s="77" t="s">
        <v>41</v>
      </c>
      <c r="H82" s="76">
        <f>IF(G82='Tablas AR'!$B$10,1,IF('Análisis de Riesgos'!G82='Tablas AR'!$B$11,2,IF('Análisis de Riesgos'!G82='Tablas AR'!$B$12,3,"")))</f>
        <v>3</v>
      </c>
      <c r="I82" s="76">
        <f t="shared" si="1"/>
        <v>6</v>
      </c>
    </row>
    <row r="83" ht="14.25" customHeight="1">
      <c r="B83" s="60" t="s">
        <v>107</v>
      </c>
      <c r="C83" s="84"/>
      <c r="D83" s="80" t="s">
        <v>28</v>
      </c>
      <c r="E83" s="77" t="s">
        <v>39</v>
      </c>
      <c r="F83" s="76">
        <f>IF(E83='Tablas AR'!$B$4,1,IF('Análisis de Riesgos'!E83='Tablas AR'!$B$5,2,IF('Análisis de Riesgos'!E83='Tablas AR'!$B$6,3,"")))</f>
        <v>2</v>
      </c>
      <c r="G83" s="77" t="s">
        <v>41</v>
      </c>
      <c r="H83" s="76">
        <f>IF(G83='Tablas AR'!$B$10,1,IF('Análisis de Riesgos'!G83='Tablas AR'!$B$11,2,IF('Análisis de Riesgos'!G83='Tablas AR'!$B$12,3,"")))</f>
        <v>3</v>
      </c>
      <c r="I83" s="76">
        <f t="shared" si="1"/>
        <v>6</v>
      </c>
    </row>
    <row r="84" ht="14.25" customHeight="1">
      <c r="B84" s="60" t="s">
        <v>107</v>
      </c>
      <c r="C84" s="84"/>
      <c r="D84" s="80" t="s">
        <v>79</v>
      </c>
      <c r="E84" s="77" t="s">
        <v>39</v>
      </c>
      <c r="F84" s="76">
        <f>IF(E84='Tablas AR'!$B$4,1,IF('Análisis de Riesgos'!E84='Tablas AR'!$B$5,2,IF('Análisis de Riesgos'!E84='Tablas AR'!$B$6,3,"")))</f>
        <v>2</v>
      </c>
      <c r="G84" s="77" t="s">
        <v>41</v>
      </c>
      <c r="H84" s="76">
        <f>IF(G84='Tablas AR'!$B$10,1,IF('Análisis de Riesgos'!G84='Tablas AR'!$B$11,2,IF('Análisis de Riesgos'!G84='Tablas AR'!$B$12,3,"")))</f>
        <v>3</v>
      </c>
      <c r="I84" s="76">
        <f t="shared" si="1"/>
        <v>6</v>
      </c>
    </row>
    <row r="85" ht="14.25" customHeight="1">
      <c r="B85" s="60" t="s">
        <v>107</v>
      </c>
      <c r="C85" s="84"/>
      <c r="D85" s="80" t="s">
        <v>70</v>
      </c>
      <c r="E85" s="77" t="s">
        <v>39</v>
      </c>
      <c r="F85" s="76">
        <f>IF(E85='Tablas AR'!$B$4,1,IF('Análisis de Riesgos'!E85='Tablas AR'!$B$5,2,IF('Análisis de Riesgos'!E85='Tablas AR'!$B$6,3,"")))</f>
        <v>2</v>
      </c>
      <c r="G85" s="77" t="s">
        <v>41</v>
      </c>
      <c r="H85" s="76">
        <f>IF(G85='Tablas AR'!$B$10,1,IF('Análisis de Riesgos'!G85='Tablas AR'!$B$11,2,IF('Análisis de Riesgos'!G85='Tablas AR'!$B$12,3,"")))</f>
        <v>3</v>
      </c>
      <c r="I85" s="76">
        <f t="shared" si="1"/>
        <v>6</v>
      </c>
    </row>
    <row r="86" ht="14.25" customHeight="1">
      <c r="B86" s="60" t="s">
        <v>107</v>
      </c>
      <c r="C86" s="84"/>
      <c r="D86" s="80" t="s">
        <v>80</v>
      </c>
      <c r="E86" s="77" t="s">
        <v>39</v>
      </c>
      <c r="F86" s="76">
        <f>IF(E86='Tablas AR'!$B$4,1,IF('Análisis de Riesgos'!E86='Tablas AR'!$B$5,2,IF('Análisis de Riesgos'!E86='Tablas AR'!$B$6,3,"")))</f>
        <v>2</v>
      </c>
      <c r="G86" s="77" t="s">
        <v>41</v>
      </c>
      <c r="H86" s="76">
        <f>IF(G86='Tablas AR'!$B$10,1,IF('Análisis de Riesgos'!G86='Tablas AR'!$B$11,2,IF('Análisis de Riesgos'!G86='Tablas AR'!$B$12,3,"")))</f>
        <v>3</v>
      </c>
      <c r="I86" s="76">
        <f t="shared" si="1"/>
        <v>6</v>
      </c>
    </row>
    <row r="87" ht="14.25" customHeight="1">
      <c r="B87" s="60" t="s">
        <v>107</v>
      </c>
      <c r="C87" s="84"/>
      <c r="D87" s="80" t="s">
        <v>81</v>
      </c>
      <c r="E87" s="77" t="s">
        <v>39</v>
      </c>
      <c r="F87" s="76">
        <f>IF(E87='Tablas AR'!$B$4,1,IF('Análisis de Riesgos'!E87='Tablas AR'!$B$5,2,IF('Análisis de Riesgos'!E87='Tablas AR'!$B$6,3,"")))</f>
        <v>2</v>
      </c>
      <c r="G87" s="77" t="s">
        <v>41</v>
      </c>
      <c r="H87" s="76">
        <f>IF(G87='Tablas AR'!$B$10,1,IF('Análisis de Riesgos'!G87='Tablas AR'!$B$11,2,IF('Análisis de Riesgos'!G87='Tablas AR'!$B$12,3,"")))</f>
        <v>3</v>
      </c>
      <c r="I87" s="76">
        <f t="shared" si="1"/>
        <v>6</v>
      </c>
    </row>
    <row r="88" ht="14.25" customHeight="1">
      <c r="B88" s="60" t="s">
        <v>107</v>
      </c>
      <c r="C88" s="84"/>
      <c r="D88" s="81" t="s">
        <v>58</v>
      </c>
      <c r="E88" s="77" t="s">
        <v>41</v>
      </c>
      <c r="F88" s="76">
        <f>IF(E88='Tablas AR'!$B$4,1,IF('Análisis de Riesgos'!E88='Tablas AR'!$B$5,2,IF('Análisis de Riesgos'!E88='Tablas AR'!$B$6,3,"")))</f>
        <v>3</v>
      </c>
      <c r="G88" s="77" t="s">
        <v>37</v>
      </c>
      <c r="H88" s="76">
        <f>IF(G88='Tablas AR'!$B$10,1,IF('Análisis de Riesgos'!G88='Tablas AR'!$B$11,2,IF('Análisis de Riesgos'!G88='Tablas AR'!$B$12,3,"")))</f>
        <v>1</v>
      </c>
      <c r="I88" s="76">
        <f t="shared" si="1"/>
        <v>3</v>
      </c>
    </row>
    <row r="89" ht="14.25" customHeight="1">
      <c r="B89" s="60" t="s">
        <v>107</v>
      </c>
      <c r="C89" s="84"/>
      <c r="D89" s="81" t="s">
        <v>61</v>
      </c>
      <c r="E89" s="77" t="s">
        <v>39</v>
      </c>
      <c r="F89" s="76">
        <f>IF(E89='Tablas AR'!$B$4,1,IF('Análisis de Riesgos'!E89='Tablas AR'!$B$5,2,IF('Análisis de Riesgos'!E89='Tablas AR'!$B$6,3,"")))</f>
        <v>2</v>
      </c>
      <c r="G89" s="77" t="s">
        <v>39</v>
      </c>
      <c r="H89" s="76">
        <f>IF(G89='Tablas AR'!$B$10,1,IF('Análisis de Riesgos'!G89='Tablas AR'!$B$11,2,IF('Análisis de Riesgos'!G89='Tablas AR'!$B$12,3,"")))</f>
        <v>2</v>
      </c>
      <c r="I89" s="76">
        <f t="shared" si="1"/>
        <v>4</v>
      </c>
    </row>
    <row r="90" ht="14.25" customHeight="1">
      <c r="B90" s="60" t="s">
        <v>107</v>
      </c>
      <c r="C90" s="84"/>
      <c r="D90" s="81" t="s">
        <v>64</v>
      </c>
      <c r="E90" s="77" t="s">
        <v>37</v>
      </c>
      <c r="F90" s="76">
        <f>IF(E90='Tablas AR'!$B$4,1,IF('Análisis de Riesgos'!E90='Tablas AR'!$B$5,2,IF('Análisis de Riesgos'!E90='Tablas AR'!$B$6,3,"")))</f>
        <v>1</v>
      </c>
      <c r="G90" s="77" t="s">
        <v>41</v>
      </c>
      <c r="H90" s="76">
        <f>IF(G90='Tablas AR'!$B$10,1,IF('Análisis de Riesgos'!G90='Tablas AR'!$B$11,2,IF('Análisis de Riesgos'!G90='Tablas AR'!$B$12,3,"")))</f>
        <v>3</v>
      </c>
      <c r="I90" s="76">
        <f t="shared" si="1"/>
        <v>3</v>
      </c>
    </row>
    <row r="91" ht="14.25" customHeight="1">
      <c r="B91" s="60" t="s">
        <v>107</v>
      </c>
      <c r="C91" s="84"/>
      <c r="D91" s="82" t="s">
        <v>29</v>
      </c>
      <c r="E91" s="77" t="s">
        <v>41</v>
      </c>
      <c r="F91" s="76">
        <f>IF(E91='Tablas AR'!$B$4,1,IF('Análisis de Riesgos'!E91='Tablas AR'!$B$5,2,IF('Análisis de Riesgos'!E91='Tablas AR'!$B$6,3,"")))</f>
        <v>3</v>
      </c>
      <c r="G91" s="77" t="s">
        <v>41</v>
      </c>
      <c r="H91" s="76">
        <f>IF(G91='Tablas AR'!$B$10,1,IF('Análisis de Riesgos'!G91='Tablas AR'!$B$11,2,IF('Análisis de Riesgos'!G91='Tablas AR'!$B$12,3,"")))</f>
        <v>3</v>
      </c>
      <c r="I91" s="76">
        <f t="shared" si="1"/>
        <v>9</v>
      </c>
    </row>
    <row r="92" ht="14.25" customHeight="1">
      <c r="B92" s="60" t="s">
        <v>107</v>
      </c>
      <c r="C92" s="84"/>
      <c r="D92" s="82" t="s">
        <v>68</v>
      </c>
      <c r="E92" s="77" t="s">
        <v>39</v>
      </c>
      <c r="F92" s="76">
        <f>IF(E92='Tablas AR'!$B$4,1,IF('Análisis de Riesgos'!E92='Tablas AR'!$B$5,2,IF('Análisis de Riesgos'!E92='Tablas AR'!$B$6,3,"")))</f>
        <v>2</v>
      </c>
      <c r="G92" s="77" t="s">
        <v>41</v>
      </c>
      <c r="H92" s="76">
        <f>IF(G92='Tablas AR'!$B$10,1,IF('Análisis de Riesgos'!G92='Tablas AR'!$B$11,2,IF('Análisis de Riesgos'!G92='Tablas AR'!$B$12,3,"")))</f>
        <v>3</v>
      </c>
      <c r="I92" s="76">
        <f t="shared" si="1"/>
        <v>6</v>
      </c>
    </row>
    <row r="93" ht="14.25" customHeight="1">
      <c r="B93" s="60" t="s">
        <v>107</v>
      </c>
      <c r="C93" s="84"/>
      <c r="D93" s="82" t="s">
        <v>70</v>
      </c>
      <c r="E93" s="77" t="s">
        <v>37</v>
      </c>
      <c r="F93" s="76">
        <f>IF(E93='Tablas AR'!$B$4,1,IF('Análisis de Riesgos'!E93='Tablas AR'!$B$5,2,IF('Análisis de Riesgos'!E93='Tablas AR'!$B$6,3,"")))</f>
        <v>1</v>
      </c>
      <c r="G93" s="77" t="s">
        <v>37</v>
      </c>
      <c r="H93" s="76">
        <f>IF(G93='Tablas AR'!$B$10,1,IF('Análisis de Riesgos'!G93='Tablas AR'!$B$11,2,IF('Análisis de Riesgos'!G93='Tablas AR'!$B$12,3,"")))</f>
        <v>1</v>
      </c>
      <c r="I93" s="76">
        <f t="shared" si="1"/>
        <v>1</v>
      </c>
    </row>
    <row r="94" ht="14.25" customHeight="1">
      <c r="B94" s="60" t="s">
        <v>107</v>
      </c>
      <c r="C94" s="84"/>
      <c r="D94" s="82" t="s">
        <v>73</v>
      </c>
      <c r="E94" s="77" t="s">
        <v>39</v>
      </c>
      <c r="F94" s="76">
        <f>IF(E94='Tablas AR'!$B$4,1,IF('Análisis de Riesgos'!E94='Tablas AR'!$B$5,2,IF('Análisis de Riesgos'!E94='Tablas AR'!$B$6,3,"")))</f>
        <v>2</v>
      </c>
      <c r="G94" s="77" t="s">
        <v>39</v>
      </c>
      <c r="H94" s="76">
        <f>IF(G94='Tablas AR'!$B$10,1,IF('Análisis de Riesgos'!G94='Tablas AR'!$B$11,2,IF('Análisis de Riesgos'!G94='Tablas AR'!$B$12,3,"")))</f>
        <v>2</v>
      </c>
      <c r="I94" s="76">
        <f t="shared" si="1"/>
        <v>4</v>
      </c>
    </row>
    <row r="95" ht="14.25" customHeight="1">
      <c r="B95" s="60" t="s">
        <v>107</v>
      </c>
      <c r="C95" s="84"/>
      <c r="D95" s="82" t="s">
        <v>76</v>
      </c>
      <c r="E95" s="77" t="s">
        <v>39</v>
      </c>
      <c r="F95" s="76">
        <f>IF(E95='Tablas AR'!$B$4,1,IF('Análisis de Riesgos'!E95='Tablas AR'!$B$5,2,IF('Análisis de Riesgos'!E95='Tablas AR'!$B$6,3,"")))</f>
        <v>2</v>
      </c>
      <c r="G95" s="77" t="s">
        <v>39</v>
      </c>
      <c r="H95" s="76">
        <f>IF(G95='Tablas AR'!$B$10,1,IF('Análisis de Riesgos'!G95='Tablas AR'!$B$11,2,IF('Análisis de Riesgos'!G95='Tablas AR'!$B$12,3,"")))</f>
        <v>2</v>
      </c>
      <c r="I95" s="76">
        <f t="shared" si="1"/>
        <v>4</v>
      </c>
    </row>
    <row r="96" ht="14.25" customHeight="1">
      <c r="B96" s="60" t="s">
        <v>109</v>
      </c>
      <c r="C96" s="84"/>
      <c r="D96" s="45" t="s">
        <v>57</v>
      </c>
      <c r="E96" s="77" t="s">
        <v>37</v>
      </c>
      <c r="F96" s="76">
        <f>IF(E96='Tablas AR'!$B$4,1,IF('Análisis de Riesgos'!E96='Tablas AR'!$B$5,2,IF('Análisis de Riesgos'!E96='Tablas AR'!$B$6,3,"")))</f>
        <v>1</v>
      </c>
      <c r="G96" s="77" t="s">
        <v>37</v>
      </c>
      <c r="H96" s="76">
        <f>IF(G96='Tablas AR'!$B$10,1,IF('Análisis de Riesgos'!G96='Tablas AR'!$B$11,2,IF('Análisis de Riesgos'!G96='Tablas AR'!$B$12,3,"")))</f>
        <v>1</v>
      </c>
      <c r="I96" s="76">
        <f t="shared" si="1"/>
        <v>1</v>
      </c>
    </row>
    <row r="97" ht="14.25" customHeight="1">
      <c r="B97" s="60" t="s">
        <v>109</v>
      </c>
      <c r="C97" s="84"/>
      <c r="D97" s="45" t="s">
        <v>59</v>
      </c>
      <c r="E97" s="77" t="s">
        <v>37</v>
      </c>
      <c r="F97" s="76">
        <f>IF(E97='Tablas AR'!$B$4,1,IF('Análisis de Riesgos'!E97='Tablas AR'!$B$5,2,IF('Análisis de Riesgos'!E97='Tablas AR'!$B$6,3,"")))</f>
        <v>1</v>
      </c>
      <c r="G97" s="77" t="s">
        <v>37</v>
      </c>
      <c r="H97" s="76">
        <f>IF(G97='Tablas AR'!$B$10,1,IF('Análisis de Riesgos'!G97='Tablas AR'!$B$11,2,IF('Análisis de Riesgos'!G97='Tablas AR'!$B$12,3,"")))</f>
        <v>1</v>
      </c>
      <c r="I97" s="76">
        <f t="shared" si="1"/>
        <v>1</v>
      </c>
    </row>
    <row r="98" ht="14.25" customHeight="1">
      <c r="B98" s="60" t="s">
        <v>109</v>
      </c>
      <c r="C98" s="84"/>
      <c r="D98" s="45" t="s">
        <v>62</v>
      </c>
      <c r="E98" s="77" t="s">
        <v>37</v>
      </c>
      <c r="F98" s="76">
        <f>IF(E98='Tablas AR'!$B$4,1,IF('Análisis de Riesgos'!E98='Tablas AR'!$B$5,2,IF('Análisis de Riesgos'!E98='Tablas AR'!$B$6,3,"")))</f>
        <v>1</v>
      </c>
      <c r="G98" s="77" t="s">
        <v>37</v>
      </c>
      <c r="H98" s="76">
        <f>IF(G98='Tablas AR'!$B$10,1,IF('Análisis de Riesgos'!G98='Tablas AR'!$B$11,2,IF('Análisis de Riesgos'!G98='Tablas AR'!$B$12,3,"")))</f>
        <v>1</v>
      </c>
      <c r="I98" s="76">
        <f t="shared" si="1"/>
        <v>1</v>
      </c>
    </row>
    <row r="99" ht="14.25" customHeight="1">
      <c r="B99" s="60" t="s">
        <v>109</v>
      </c>
      <c r="C99" s="84"/>
      <c r="D99" s="48" t="s">
        <v>25</v>
      </c>
      <c r="E99" s="77" t="s">
        <v>41</v>
      </c>
      <c r="F99" s="76">
        <f>IF(E99='Tablas AR'!$B$4,1,IF('Análisis de Riesgos'!E99='Tablas AR'!$B$5,2,IF('Análisis de Riesgos'!E99='Tablas AR'!$B$6,3,"")))</f>
        <v>3</v>
      </c>
      <c r="G99" s="77" t="s">
        <v>41</v>
      </c>
      <c r="H99" s="76">
        <f>IF(G99='Tablas AR'!$B$10,1,IF('Análisis de Riesgos'!G99='Tablas AR'!$B$11,2,IF('Análisis de Riesgos'!G99='Tablas AR'!$B$12,3,"")))</f>
        <v>3</v>
      </c>
      <c r="I99" s="76">
        <f t="shared" si="1"/>
        <v>9</v>
      </c>
    </row>
    <row r="100" ht="14.25" customHeight="1">
      <c r="B100" s="60" t="s">
        <v>109</v>
      </c>
      <c r="C100" s="84"/>
      <c r="D100" s="48" t="s">
        <v>67</v>
      </c>
      <c r="E100" s="77" t="s">
        <v>41</v>
      </c>
      <c r="F100" s="76">
        <f>IF(E100='Tablas AR'!$B$4,1,IF('Análisis de Riesgos'!E100='Tablas AR'!$B$5,2,IF('Análisis de Riesgos'!E100='Tablas AR'!$B$6,3,"")))</f>
        <v>3</v>
      </c>
      <c r="G100" s="77" t="s">
        <v>41</v>
      </c>
      <c r="H100" s="76">
        <f>IF(G100='Tablas AR'!$B$10,1,IF('Análisis de Riesgos'!G100='Tablas AR'!$B$11,2,IF('Análisis de Riesgos'!G100='Tablas AR'!$B$12,3,"")))</f>
        <v>3</v>
      </c>
      <c r="I100" s="76">
        <f t="shared" si="1"/>
        <v>9</v>
      </c>
    </row>
    <row r="101" ht="14.25" customHeight="1">
      <c r="B101" s="60" t="s">
        <v>109</v>
      </c>
      <c r="C101" s="84"/>
      <c r="D101" s="48" t="s">
        <v>69</v>
      </c>
      <c r="E101" s="77" t="s">
        <v>41</v>
      </c>
      <c r="F101" s="76">
        <f>IF(E101='Tablas AR'!$B$4,1,IF('Análisis de Riesgos'!E101='Tablas AR'!$B$5,2,IF('Análisis de Riesgos'!E101='Tablas AR'!$B$6,3,"")))</f>
        <v>3</v>
      </c>
      <c r="G101" s="77" t="s">
        <v>41</v>
      </c>
      <c r="H101" s="76">
        <f>IF(G101='Tablas AR'!$B$10,1,IF('Análisis de Riesgos'!G101='Tablas AR'!$B$11,2,IF('Análisis de Riesgos'!G101='Tablas AR'!$B$12,3,"")))</f>
        <v>3</v>
      </c>
      <c r="I101" s="76">
        <f t="shared" si="1"/>
        <v>9</v>
      </c>
    </row>
    <row r="102" ht="14.25" customHeight="1">
      <c r="B102" s="60" t="s">
        <v>109</v>
      </c>
      <c r="C102" s="84"/>
      <c r="D102" s="48" t="s">
        <v>71</v>
      </c>
      <c r="E102" s="77" t="s">
        <v>41</v>
      </c>
      <c r="F102" s="76">
        <f>IF(E102='Tablas AR'!$B$4,1,IF('Análisis de Riesgos'!E102='Tablas AR'!$B$5,2,IF('Análisis de Riesgos'!E102='Tablas AR'!$B$6,3,"")))</f>
        <v>3</v>
      </c>
      <c r="G102" s="77" t="s">
        <v>41</v>
      </c>
      <c r="H102" s="76">
        <f>IF(G102='Tablas AR'!$B$10,1,IF('Análisis de Riesgos'!G102='Tablas AR'!$B$11,2,IF('Análisis de Riesgos'!G102='Tablas AR'!$B$12,3,"")))</f>
        <v>3</v>
      </c>
      <c r="I102" s="76">
        <f t="shared" si="1"/>
        <v>9</v>
      </c>
    </row>
    <row r="103" ht="14.25" customHeight="1">
      <c r="B103" s="60" t="s">
        <v>109</v>
      </c>
      <c r="C103" s="84"/>
      <c r="D103" s="48" t="s">
        <v>74</v>
      </c>
      <c r="E103" s="77" t="s">
        <v>41</v>
      </c>
      <c r="F103" s="76">
        <f>IF(E103='Tablas AR'!$B$4,1,IF('Análisis de Riesgos'!E103='Tablas AR'!$B$5,2,IF('Análisis de Riesgos'!E103='Tablas AR'!$B$6,3,"")))</f>
        <v>3</v>
      </c>
      <c r="G103" s="77" t="s">
        <v>41</v>
      </c>
      <c r="H103" s="76">
        <f>IF(G103='Tablas AR'!$B$10,1,IF('Análisis de Riesgos'!G103='Tablas AR'!$B$11,2,IF('Análisis de Riesgos'!G103='Tablas AR'!$B$12,3,"")))</f>
        <v>3</v>
      </c>
      <c r="I103" s="76">
        <f t="shared" si="1"/>
        <v>9</v>
      </c>
    </row>
    <row r="104" ht="14.25" customHeight="1">
      <c r="B104" s="60" t="s">
        <v>109</v>
      </c>
      <c r="C104" s="84"/>
      <c r="D104" s="48" t="s">
        <v>77</v>
      </c>
      <c r="E104" s="77" t="s">
        <v>41</v>
      </c>
      <c r="F104" s="76">
        <f>IF(E104='Tablas AR'!$B$4,1,IF('Análisis de Riesgos'!E104='Tablas AR'!$B$5,2,IF('Análisis de Riesgos'!E104='Tablas AR'!$B$6,3,"")))</f>
        <v>3</v>
      </c>
      <c r="G104" s="77" t="s">
        <v>41</v>
      </c>
      <c r="H104" s="76">
        <f>IF(G104='Tablas AR'!$B$10,1,IF('Análisis de Riesgos'!G104='Tablas AR'!$B$11,2,IF('Análisis de Riesgos'!G104='Tablas AR'!$B$12,3,"")))</f>
        <v>3</v>
      </c>
      <c r="I104" s="76">
        <f t="shared" si="1"/>
        <v>9</v>
      </c>
    </row>
    <row r="105" ht="14.25" customHeight="1">
      <c r="B105" s="60" t="s">
        <v>109</v>
      </c>
      <c r="C105" s="84"/>
      <c r="D105" s="78" t="s">
        <v>31</v>
      </c>
      <c r="E105" s="77" t="s">
        <v>37</v>
      </c>
      <c r="F105" s="76">
        <f>IF(E105='Tablas AR'!$B$4,1,IF('Análisis de Riesgos'!E105='Tablas AR'!$B$5,2,IF('Análisis de Riesgos'!E105='Tablas AR'!$B$6,3,"")))</f>
        <v>1</v>
      </c>
      <c r="G105" s="77" t="s">
        <v>37</v>
      </c>
      <c r="H105" s="76">
        <f>IF(G105='Tablas AR'!$B$10,1,IF('Análisis de Riesgos'!G105='Tablas AR'!$B$11,2,IF('Análisis de Riesgos'!G105='Tablas AR'!$B$12,3,"")))</f>
        <v>1</v>
      </c>
      <c r="I105" s="76">
        <f t="shared" si="1"/>
        <v>1</v>
      </c>
    </row>
    <row r="106" ht="14.25" customHeight="1">
      <c r="B106" s="60" t="s">
        <v>109</v>
      </c>
      <c r="C106" s="84"/>
      <c r="D106" s="78" t="s">
        <v>60</v>
      </c>
      <c r="E106" s="77" t="s">
        <v>37</v>
      </c>
      <c r="F106" s="76">
        <f>IF(E106='Tablas AR'!$B$4,1,IF('Análisis de Riesgos'!E106='Tablas AR'!$B$5,2,IF('Análisis de Riesgos'!E106='Tablas AR'!$B$6,3,"")))</f>
        <v>1</v>
      </c>
      <c r="G106" s="77" t="s">
        <v>37</v>
      </c>
      <c r="H106" s="76">
        <f>IF(G106='Tablas AR'!$B$10,1,IF('Análisis de Riesgos'!G106='Tablas AR'!$B$11,2,IF('Análisis de Riesgos'!G106='Tablas AR'!$B$12,3,"")))</f>
        <v>1</v>
      </c>
      <c r="I106" s="76">
        <f t="shared" si="1"/>
        <v>1</v>
      </c>
    </row>
    <row r="107" ht="14.25" customHeight="1">
      <c r="B107" s="60" t="s">
        <v>109</v>
      </c>
      <c r="C107" s="84"/>
      <c r="D107" s="78" t="s">
        <v>63</v>
      </c>
      <c r="E107" s="77" t="s">
        <v>37</v>
      </c>
      <c r="F107" s="76">
        <f>IF(E107='Tablas AR'!$B$4,1,IF('Análisis de Riesgos'!E107='Tablas AR'!$B$5,2,IF('Análisis de Riesgos'!E107='Tablas AR'!$B$6,3,"")))</f>
        <v>1</v>
      </c>
      <c r="G107" s="77" t="s">
        <v>37</v>
      </c>
      <c r="H107" s="76">
        <f>IF(G107='Tablas AR'!$B$10,1,IF('Análisis de Riesgos'!G107='Tablas AR'!$B$11,2,IF('Análisis de Riesgos'!G107='Tablas AR'!$B$12,3,"")))</f>
        <v>1</v>
      </c>
      <c r="I107" s="76">
        <f t="shared" si="1"/>
        <v>1</v>
      </c>
    </row>
    <row r="108" ht="14.25" customHeight="1">
      <c r="B108" s="60" t="s">
        <v>109</v>
      </c>
      <c r="C108" s="84"/>
      <c r="D108" s="78" t="s">
        <v>65</v>
      </c>
      <c r="E108" s="77" t="s">
        <v>37</v>
      </c>
      <c r="F108" s="76">
        <f>IF(E108='Tablas AR'!$B$4,1,IF('Análisis de Riesgos'!E108='Tablas AR'!$B$5,2,IF('Análisis de Riesgos'!E108='Tablas AR'!$B$6,3,"")))</f>
        <v>1</v>
      </c>
      <c r="G108" s="77" t="s">
        <v>37</v>
      </c>
      <c r="H108" s="76">
        <f>IF(G108='Tablas AR'!$B$10,1,IF('Análisis de Riesgos'!G108='Tablas AR'!$B$11,2,IF('Análisis de Riesgos'!G108='Tablas AR'!$B$12,3,"")))</f>
        <v>1</v>
      </c>
      <c r="I108" s="76">
        <f t="shared" si="1"/>
        <v>1</v>
      </c>
    </row>
    <row r="109" ht="14.25" customHeight="1">
      <c r="B109" s="60" t="s">
        <v>109</v>
      </c>
      <c r="C109" s="84"/>
      <c r="D109" s="78" t="s">
        <v>66</v>
      </c>
      <c r="E109" s="77" t="s">
        <v>37</v>
      </c>
      <c r="F109" s="76">
        <f>IF(E109='Tablas AR'!$B$4,1,IF('Análisis de Riesgos'!E109='Tablas AR'!$B$5,2,IF('Análisis de Riesgos'!E109='Tablas AR'!$B$6,3,"")))</f>
        <v>1</v>
      </c>
      <c r="G109" s="77" t="s">
        <v>37</v>
      </c>
      <c r="H109" s="76">
        <f>IF(G109='Tablas AR'!$B$10,1,IF('Análisis de Riesgos'!G109='Tablas AR'!$B$11,2,IF('Análisis de Riesgos'!G109='Tablas AR'!$B$12,3,"")))</f>
        <v>1</v>
      </c>
      <c r="I109" s="76">
        <f t="shared" si="1"/>
        <v>1</v>
      </c>
    </row>
    <row r="110" ht="14.25" customHeight="1">
      <c r="B110" s="60" t="s">
        <v>109</v>
      </c>
      <c r="C110" s="84"/>
      <c r="D110" s="80" t="s">
        <v>26</v>
      </c>
      <c r="E110" s="77" t="s">
        <v>39</v>
      </c>
      <c r="F110" s="76">
        <f>IF(E110='Tablas AR'!$B$4,1,IF('Análisis de Riesgos'!E110='Tablas AR'!$B$5,2,IF('Análisis de Riesgos'!E110='Tablas AR'!$B$6,3,"")))</f>
        <v>2</v>
      </c>
      <c r="G110" s="77" t="s">
        <v>41</v>
      </c>
      <c r="H110" s="76">
        <f>IF(G110='Tablas AR'!$B$10,1,IF('Análisis de Riesgos'!G110='Tablas AR'!$B$11,2,IF('Análisis de Riesgos'!G110='Tablas AR'!$B$12,3,"")))</f>
        <v>3</v>
      </c>
      <c r="I110" s="76">
        <f t="shared" si="1"/>
        <v>6</v>
      </c>
    </row>
    <row r="111" ht="14.25" customHeight="1">
      <c r="B111" s="60" t="s">
        <v>109</v>
      </c>
      <c r="C111" s="84"/>
      <c r="D111" s="80" t="s">
        <v>72</v>
      </c>
      <c r="E111" s="77" t="s">
        <v>39</v>
      </c>
      <c r="F111" s="76">
        <f>IF(E111='Tablas AR'!$B$4,1,IF('Análisis de Riesgos'!E111='Tablas AR'!$B$5,2,IF('Análisis de Riesgos'!E111='Tablas AR'!$B$6,3,"")))</f>
        <v>2</v>
      </c>
      <c r="G111" s="77" t="s">
        <v>41</v>
      </c>
      <c r="H111" s="76">
        <f>IF(G111='Tablas AR'!$B$10,1,IF('Análisis de Riesgos'!G111='Tablas AR'!$B$11,2,IF('Análisis de Riesgos'!G111='Tablas AR'!$B$12,3,"")))</f>
        <v>3</v>
      </c>
      <c r="I111" s="76">
        <f t="shared" si="1"/>
        <v>6</v>
      </c>
    </row>
    <row r="112" ht="14.25" customHeight="1">
      <c r="B112" s="60" t="s">
        <v>109</v>
      </c>
      <c r="C112" s="84"/>
      <c r="D112" s="80" t="s">
        <v>75</v>
      </c>
      <c r="E112" s="77" t="s">
        <v>41</v>
      </c>
      <c r="F112" s="76">
        <f>IF(E112='Tablas AR'!$B$4,1,IF('Análisis de Riesgos'!E112='Tablas AR'!$B$5,2,IF('Análisis de Riesgos'!E112='Tablas AR'!$B$6,3,"")))</f>
        <v>3</v>
      </c>
      <c r="G112" s="77" t="s">
        <v>41</v>
      </c>
      <c r="H112" s="76">
        <f>IF(G112='Tablas AR'!$B$10,1,IF('Análisis de Riesgos'!G112='Tablas AR'!$B$11,2,IF('Análisis de Riesgos'!G112='Tablas AR'!$B$12,3,"")))</f>
        <v>3</v>
      </c>
      <c r="I112" s="76">
        <f t="shared" si="1"/>
        <v>9</v>
      </c>
    </row>
    <row r="113" ht="14.25" customHeight="1">
      <c r="B113" s="60" t="s">
        <v>109</v>
      </c>
      <c r="C113" s="84"/>
      <c r="D113" s="80" t="s">
        <v>78</v>
      </c>
      <c r="E113" s="77" t="s">
        <v>41</v>
      </c>
      <c r="F113" s="76">
        <f>IF(E113='Tablas AR'!$B$4,1,IF('Análisis de Riesgos'!E113='Tablas AR'!$B$5,2,IF('Análisis de Riesgos'!E113='Tablas AR'!$B$6,3,"")))</f>
        <v>3</v>
      </c>
      <c r="G113" s="77" t="s">
        <v>41</v>
      </c>
      <c r="H113" s="76">
        <f>IF(G113='Tablas AR'!$B$10,1,IF('Análisis de Riesgos'!G113='Tablas AR'!$B$11,2,IF('Análisis de Riesgos'!G113='Tablas AR'!$B$12,3,"")))</f>
        <v>3</v>
      </c>
      <c r="I113" s="76">
        <f t="shared" si="1"/>
        <v>9</v>
      </c>
    </row>
    <row r="114" ht="14.25" customHeight="1">
      <c r="B114" s="60" t="s">
        <v>109</v>
      </c>
      <c r="C114" s="84"/>
      <c r="D114" s="80" t="s">
        <v>28</v>
      </c>
      <c r="E114" s="77" t="s">
        <v>41</v>
      </c>
      <c r="F114" s="76">
        <f>IF(E114='Tablas AR'!$B$4,1,IF('Análisis de Riesgos'!E114='Tablas AR'!$B$5,2,IF('Análisis de Riesgos'!E114='Tablas AR'!$B$6,3,"")))</f>
        <v>3</v>
      </c>
      <c r="G114" s="77" t="s">
        <v>41</v>
      </c>
      <c r="H114" s="76">
        <f>IF(G114='Tablas AR'!$B$10,1,IF('Análisis de Riesgos'!G114='Tablas AR'!$B$11,2,IF('Análisis de Riesgos'!G114='Tablas AR'!$B$12,3,"")))</f>
        <v>3</v>
      </c>
      <c r="I114" s="76">
        <f t="shared" si="1"/>
        <v>9</v>
      </c>
    </row>
    <row r="115" ht="14.25" customHeight="1">
      <c r="B115" s="60" t="s">
        <v>109</v>
      </c>
      <c r="C115" s="84"/>
      <c r="D115" s="80" t="s">
        <v>79</v>
      </c>
      <c r="E115" s="77" t="s">
        <v>37</v>
      </c>
      <c r="F115" s="76">
        <f>IF(E115='Tablas AR'!$B$4,1,IF('Análisis de Riesgos'!E115='Tablas AR'!$B$5,2,IF('Análisis de Riesgos'!E115='Tablas AR'!$B$6,3,"")))</f>
        <v>1</v>
      </c>
      <c r="G115" s="77" t="s">
        <v>37</v>
      </c>
      <c r="H115" s="76">
        <f>IF(G115='Tablas AR'!$B$10,1,IF('Análisis de Riesgos'!G115='Tablas AR'!$B$11,2,IF('Análisis de Riesgos'!G115='Tablas AR'!$B$12,3,"")))</f>
        <v>1</v>
      </c>
      <c r="I115" s="76">
        <f t="shared" si="1"/>
        <v>1</v>
      </c>
    </row>
    <row r="116" ht="14.25" customHeight="1">
      <c r="B116" s="60" t="s">
        <v>109</v>
      </c>
      <c r="C116" s="84"/>
      <c r="D116" s="80" t="s">
        <v>70</v>
      </c>
      <c r="E116" s="77" t="s">
        <v>37</v>
      </c>
      <c r="F116" s="76">
        <f>IF(E116='Tablas AR'!$B$4,1,IF('Análisis de Riesgos'!E116='Tablas AR'!$B$5,2,IF('Análisis de Riesgos'!E116='Tablas AR'!$B$6,3,"")))</f>
        <v>1</v>
      </c>
      <c r="G116" s="77" t="s">
        <v>37</v>
      </c>
      <c r="H116" s="76">
        <f>IF(G116='Tablas AR'!$B$10,1,IF('Análisis de Riesgos'!G116='Tablas AR'!$B$11,2,IF('Análisis de Riesgos'!G116='Tablas AR'!$B$12,3,"")))</f>
        <v>1</v>
      </c>
      <c r="I116" s="76">
        <f t="shared" si="1"/>
        <v>1</v>
      </c>
    </row>
    <row r="117" ht="14.25" customHeight="1">
      <c r="B117" s="60" t="s">
        <v>109</v>
      </c>
      <c r="C117" s="84"/>
      <c r="D117" s="80" t="s">
        <v>80</v>
      </c>
      <c r="E117" s="77" t="s">
        <v>39</v>
      </c>
      <c r="F117" s="76">
        <f>IF(E117='Tablas AR'!$B$4,1,IF('Análisis de Riesgos'!E117='Tablas AR'!$B$5,2,IF('Análisis de Riesgos'!E117='Tablas AR'!$B$6,3,"")))</f>
        <v>2</v>
      </c>
      <c r="G117" s="77" t="s">
        <v>41</v>
      </c>
      <c r="H117" s="76">
        <f>IF(G117='Tablas AR'!$B$10,1,IF('Análisis de Riesgos'!G117='Tablas AR'!$B$11,2,IF('Análisis de Riesgos'!G117='Tablas AR'!$B$12,3,"")))</f>
        <v>3</v>
      </c>
      <c r="I117" s="76">
        <f t="shared" si="1"/>
        <v>6</v>
      </c>
    </row>
    <row r="118" ht="14.25" customHeight="1">
      <c r="B118" s="60" t="s">
        <v>109</v>
      </c>
      <c r="C118" s="84"/>
      <c r="D118" s="80" t="s">
        <v>81</v>
      </c>
      <c r="E118" s="77" t="s">
        <v>39</v>
      </c>
      <c r="F118" s="76">
        <f>IF(E118='Tablas AR'!$B$4,1,IF('Análisis de Riesgos'!E118='Tablas AR'!$B$5,2,IF('Análisis de Riesgos'!E118='Tablas AR'!$B$6,3,"")))</f>
        <v>2</v>
      </c>
      <c r="G118" s="77" t="s">
        <v>41</v>
      </c>
      <c r="H118" s="76">
        <f>IF(G118='Tablas AR'!$B$10,1,IF('Análisis de Riesgos'!G118='Tablas AR'!$B$11,2,IF('Análisis de Riesgos'!G118='Tablas AR'!$B$12,3,"")))</f>
        <v>3</v>
      </c>
      <c r="I118" s="76">
        <f t="shared" si="1"/>
        <v>6</v>
      </c>
    </row>
    <row r="119" ht="14.25" customHeight="1">
      <c r="B119" s="60" t="s">
        <v>109</v>
      </c>
      <c r="C119" s="84"/>
      <c r="D119" s="81" t="s">
        <v>58</v>
      </c>
      <c r="E119" s="77" t="s">
        <v>37</v>
      </c>
      <c r="F119" s="76">
        <f>IF(E119='Tablas AR'!$B$4,1,IF('Análisis de Riesgos'!E119='Tablas AR'!$B$5,2,IF('Análisis de Riesgos'!E119='Tablas AR'!$B$6,3,"")))</f>
        <v>1</v>
      </c>
      <c r="G119" s="77" t="s">
        <v>37</v>
      </c>
      <c r="H119" s="76">
        <f>IF(G119='Tablas AR'!$B$10,1,IF('Análisis de Riesgos'!G119='Tablas AR'!$B$11,2,IF('Análisis de Riesgos'!G119='Tablas AR'!$B$12,3,"")))</f>
        <v>1</v>
      </c>
      <c r="I119" s="76">
        <f t="shared" si="1"/>
        <v>1</v>
      </c>
    </row>
    <row r="120" ht="14.25" customHeight="1">
      <c r="B120" s="60" t="s">
        <v>109</v>
      </c>
      <c r="C120" s="84"/>
      <c r="D120" s="81" t="s">
        <v>61</v>
      </c>
      <c r="E120" s="77" t="s">
        <v>39</v>
      </c>
      <c r="F120" s="76">
        <f>IF(E120='Tablas AR'!$B$4,1,IF('Análisis de Riesgos'!E120='Tablas AR'!$B$5,2,IF('Análisis de Riesgos'!E120='Tablas AR'!$B$6,3,"")))</f>
        <v>2</v>
      </c>
      <c r="G120" s="77" t="s">
        <v>39</v>
      </c>
      <c r="H120" s="76">
        <f>IF(G120='Tablas AR'!$B$10,1,IF('Análisis de Riesgos'!G120='Tablas AR'!$B$11,2,IF('Análisis de Riesgos'!G120='Tablas AR'!$B$12,3,"")))</f>
        <v>2</v>
      </c>
      <c r="I120" s="76">
        <f t="shared" si="1"/>
        <v>4</v>
      </c>
    </row>
    <row r="121" ht="14.25" customHeight="1">
      <c r="B121" s="60" t="s">
        <v>109</v>
      </c>
      <c r="C121" s="84"/>
      <c r="D121" s="81" t="s">
        <v>64</v>
      </c>
      <c r="E121" s="77" t="s">
        <v>41</v>
      </c>
      <c r="F121" s="76">
        <f>IF(E121='Tablas AR'!$B$4,1,IF('Análisis de Riesgos'!E121='Tablas AR'!$B$5,2,IF('Análisis de Riesgos'!E121='Tablas AR'!$B$6,3,"")))</f>
        <v>3</v>
      </c>
      <c r="G121" s="77" t="s">
        <v>41</v>
      </c>
      <c r="H121" s="76">
        <f>IF(G121='Tablas AR'!$B$10,1,IF('Análisis de Riesgos'!G121='Tablas AR'!$B$11,2,IF('Análisis de Riesgos'!G121='Tablas AR'!$B$12,3,"")))</f>
        <v>3</v>
      </c>
      <c r="I121" s="76">
        <f t="shared" si="1"/>
        <v>9</v>
      </c>
    </row>
    <row r="122" ht="14.25" customHeight="1">
      <c r="B122" s="60" t="s">
        <v>109</v>
      </c>
      <c r="C122" s="84"/>
      <c r="D122" s="82" t="s">
        <v>29</v>
      </c>
      <c r="E122" s="77" t="s">
        <v>41</v>
      </c>
      <c r="F122" s="76">
        <f>IF(E122='Tablas AR'!$B$4,1,IF('Análisis de Riesgos'!E122='Tablas AR'!$B$5,2,IF('Análisis de Riesgos'!E122='Tablas AR'!$B$6,3,"")))</f>
        <v>3</v>
      </c>
      <c r="G122" s="77" t="s">
        <v>39</v>
      </c>
      <c r="H122" s="76">
        <f>IF(G122='Tablas AR'!$B$10,1,IF('Análisis de Riesgos'!G122='Tablas AR'!$B$11,2,IF('Análisis de Riesgos'!G122='Tablas AR'!$B$12,3,"")))</f>
        <v>2</v>
      </c>
      <c r="I122" s="76">
        <f t="shared" si="1"/>
        <v>6</v>
      </c>
    </row>
    <row r="123" ht="14.25" customHeight="1">
      <c r="B123" s="60" t="s">
        <v>109</v>
      </c>
      <c r="C123" s="84"/>
      <c r="D123" s="82" t="s">
        <v>68</v>
      </c>
      <c r="E123" s="77" t="s">
        <v>39</v>
      </c>
      <c r="F123" s="76">
        <f>IF(E123='Tablas AR'!$B$4,1,IF('Análisis de Riesgos'!E123='Tablas AR'!$B$5,2,IF('Análisis de Riesgos'!E123='Tablas AR'!$B$6,3,"")))</f>
        <v>2</v>
      </c>
      <c r="G123" s="77" t="s">
        <v>41</v>
      </c>
      <c r="H123" s="76">
        <f>IF(G123='Tablas AR'!$B$10,1,IF('Análisis de Riesgos'!G123='Tablas AR'!$B$11,2,IF('Análisis de Riesgos'!G123='Tablas AR'!$B$12,3,"")))</f>
        <v>3</v>
      </c>
      <c r="I123" s="76">
        <f t="shared" si="1"/>
        <v>6</v>
      </c>
    </row>
    <row r="124" ht="14.25" customHeight="1">
      <c r="B124" s="60" t="s">
        <v>109</v>
      </c>
      <c r="C124" s="84"/>
      <c r="D124" s="82" t="s">
        <v>70</v>
      </c>
      <c r="E124" s="77" t="s">
        <v>37</v>
      </c>
      <c r="F124" s="76">
        <f>IF(E124='Tablas AR'!$B$4,1,IF('Análisis de Riesgos'!E124='Tablas AR'!$B$5,2,IF('Análisis de Riesgos'!E124='Tablas AR'!$B$6,3,"")))</f>
        <v>1</v>
      </c>
      <c r="G124" s="77" t="s">
        <v>37</v>
      </c>
      <c r="H124" s="76">
        <f>IF(G124='Tablas AR'!$B$10,1,IF('Análisis de Riesgos'!G124='Tablas AR'!$B$11,2,IF('Análisis de Riesgos'!G124='Tablas AR'!$B$12,3,"")))</f>
        <v>1</v>
      </c>
      <c r="I124" s="76">
        <f t="shared" si="1"/>
        <v>1</v>
      </c>
    </row>
    <row r="125" ht="14.25" customHeight="1">
      <c r="B125" s="60" t="s">
        <v>109</v>
      </c>
      <c r="C125" s="84"/>
      <c r="D125" s="82" t="s">
        <v>73</v>
      </c>
      <c r="E125" s="77" t="s">
        <v>41</v>
      </c>
      <c r="F125" s="76">
        <f>IF(E125='Tablas AR'!$B$4,1,IF('Análisis de Riesgos'!E125='Tablas AR'!$B$5,2,IF('Análisis de Riesgos'!E125='Tablas AR'!$B$6,3,"")))</f>
        <v>3</v>
      </c>
      <c r="G125" s="77" t="s">
        <v>41</v>
      </c>
      <c r="H125" s="76">
        <f>IF(G125='Tablas AR'!$B$10,1,IF('Análisis de Riesgos'!G125='Tablas AR'!$B$11,2,IF('Análisis de Riesgos'!G125='Tablas AR'!$B$12,3,"")))</f>
        <v>3</v>
      </c>
      <c r="I125" s="76">
        <f t="shared" si="1"/>
        <v>9</v>
      </c>
    </row>
    <row r="126" ht="14.25" customHeight="1">
      <c r="B126" s="60" t="s">
        <v>109</v>
      </c>
      <c r="C126" s="84"/>
      <c r="D126" s="82" t="s">
        <v>76</v>
      </c>
      <c r="E126" s="77" t="s">
        <v>41</v>
      </c>
      <c r="F126" s="76">
        <f>IF(E126='Tablas AR'!$B$4,1,IF('Análisis de Riesgos'!E126='Tablas AR'!$B$5,2,IF('Análisis de Riesgos'!E126='Tablas AR'!$B$6,3,"")))</f>
        <v>3</v>
      </c>
      <c r="G126" s="77" t="s">
        <v>41</v>
      </c>
      <c r="H126" s="76">
        <f>IF(G126='Tablas AR'!$B$10,1,IF('Análisis de Riesgos'!G126='Tablas AR'!$B$11,2,IF('Análisis de Riesgos'!G126='Tablas AR'!$B$12,3,"")))</f>
        <v>3</v>
      </c>
      <c r="I126" s="76">
        <f t="shared" si="1"/>
        <v>9</v>
      </c>
    </row>
    <row r="127" ht="14.25" customHeight="1">
      <c r="B127" s="60" t="s">
        <v>111</v>
      </c>
      <c r="C127" s="84"/>
      <c r="D127" s="45" t="s">
        <v>57</v>
      </c>
      <c r="E127" s="77" t="s">
        <v>37</v>
      </c>
      <c r="F127" s="76">
        <f>IF(E127='Tablas AR'!$B$4,1,IF('Análisis de Riesgos'!E127='Tablas AR'!$B$5,2,IF('Análisis de Riesgos'!E127='Tablas AR'!$B$6,3,"")))</f>
        <v>1</v>
      </c>
      <c r="G127" s="77" t="s">
        <v>41</v>
      </c>
      <c r="H127" s="76">
        <f>IF(G127='Tablas AR'!$B$10,1,IF('Análisis de Riesgos'!G127='Tablas AR'!$B$11,2,IF('Análisis de Riesgos'!G127='Tablas AR'!$B$12,3,"")))</f>
        <v>3</v>
      </c>
      <c r="I127" s="76">
        <f t="shared" si="1"/>
        <v>3</v>
      </c>
    </row>
    <row r="128" ht="14.25" customHeight="1">
      <c r="B128" s="60" t="s">
        <v>111</v>
      </c>
      <c r="C128" s="84"/>
      <c r="D128" s="45" t="s">
        <v>59</v>
      </c>
      <c r="E128" s="77" t="s">
        <v>37</v>
      </c>
      <c r="F128" s="76">
        <f>IF(E128='Tablas AR'!$B$4,1,IF('Análisis de Riesgos'!E128='Tablas AR'!$B$5,2,IF('Análisis de Riesgos'!E128='Tablas AR'!$B$6,3,"")))</f>
        <v>1</v>
      </c>
      <c r="G128" s="77" t="s">
        <v>41</v>
      </c>
      <c r="H128" s="76">
        <f>IF(G128='Tablas AR'!$B$10,1,IF('Análisis de Riesgos'!G128='Tablas AR'!$B$11,2,IF('Análisis de Riesgos'!G128='Tablas AR'!$B$12,3,"")))</f>
        <v>3</v>
      </c>
      <c r="I128" s="76">
        <f t="shared" si="1"/>
        <v>3</v>
      </c>
    </row>
    <row r="129" ht="14.25" customHeight="1">
      <c r="B129" s="60" t="s">
        <v>111</v>
      </c>
      <c r="C129" s="84"/>
      <c r="D129" s="45" t="s">
        <v>62</v>
      </c>
      <c r="E129" s="77" t="s">
        <v>37</v>
      </c>
      <c r="F129" s="76">
        <f>IF(E129='Tablas AR'!$B$4,1,IF('Análisis de Riesgos'!E129='Tablas AR'!$B$5,2,IF('Análisis de Riesgos'!E129='Tablas AR'!$B$6,3,"")))</f>
        <v>1</v>
      </c>
      <c r="G129" s="77" t="s">
        <v>41</v>
      </c>
      <c r="H129" s="76">
        <f>IF(G129='Tablas AR'!$B$10,1,IF('Análisis de Riesgos'!G129='Tablas AR'!$B$11,2,IF('Análisis de Riesgos'!G129='Tablas AR'!$B$12,3,"")))</f>
        <v>3</v>
      </c>
      <c r="I129" s="76">
        <f t="shared" si="1"/>
        <v>3</v>
      </c>
    </row>
    <row r="130" ht="14.25" customHeight="1">
      <c r="B130" s="60" t="s">
        <v>111</v>
      </c>
      <c r="C130" s="84"/>
      <c r="D130" s="48" t="s">
        <v>25</v>
      </c>
      <c r="E130" s="77" t="s">
        <v>41</v>
      </c>
      <c r="F130" s="76">
        <f>IF(E130='Tablas AR'!$B$4,1,IF('Análisis de Riesgos'!E130='Tablas AR'!$B$5,2,IF('Análisis de Riesgos'!E130='Tablas AR'!$B$6,3,"")))</f>
        <v>3</v>
      </c>
      <c r="G130" s="77" t="s">
        <v>41</v>
      </c>
      <c r="H130" s="76">
        <f>IF(G130='Tablas AR'!$B$10,1,IF('Análisis de Riesgos'!G130='Tablas AR'!$B$11,2,IF('Análisis de Riesgos'!G130='Tablas AR'!$B$12,3,"")))</f>
        <v>3</v>
      </c>
      <c r="I130" s="76">
        <f t="shared" si="1"/>
        <v>9</v>
      </c>
    </row>
    <row r="131" ht="14.25" customHeight="1">
      <c r="B131" s="60" t="s">
        <v>111</v>
      </c>
      <c r="C131" s="84"/>
      <c r="D131" s="48" t="s">
        <v>67</v>
      </c>
      <c r="E131" s="77" t="s">
        <v>41</v>
      </c>
      <c r="F131" s="76">
        <f>IF(E131='Tablas AR'!$B$4,1,IF('Análisis de Riesgos'!E131='Tablas AR'!$B$5,2,IF('Análisis de Riesgos'!E131='Tablas AR'!$B$6,3,"")))</f>
        <v>3</v>
      </c>
      <c r="G131" s="77" t="s">
        <v>41</v>
      </c>
      <c r="H131" s="76">
        <f>IF(G131='Tablas AR'!$B$10,1,IF('Análisis de Riesgos'!G131='Tablas AR'!$B$11,2,IF('Análisis de Riesgos'!G131='Tablas AR'!$B$12,3,"")))</f>
        <v>3</v>
      </c>
      <c r="I131" s="76">
        <f t="shared" si="1"/>
        <v>9</v>
      </c>
    </row>
    <row r="132" ht="14.25" customHeight="1">
      <c r="B132" s="60" t="s">
        <v>111</v>
      </c>
      <c r="C132" s="84"/>
      <c r="D132" s="48" t="s">
        <v>69</v>
      </c>
      <c r="E132" s="77" t="s">
        <v>41</v>
      </c>
      <c r="F132" s="76">
        <f>IF(E132='Tablas AR'!$B$4,1,IF('Análisis de Riesgos'!E132='Tablas AR'!$B$5,2,IF('Análisis de Riesgos'!E132='Tablas AR'!$B$6,3,"")))</f>
        <v>3</v>
      </c>
      <c r="G132" s="77" t="s">
        <v>41</v>
      </c>
      <c r="H132" s="76">
        <f>IF(G132='Tablas AR'!$B$10,1,IF('Análisis de Riesgos'!G132='Tablas AR'!$B$11,2,IF('Análisis de Riesgos'!G132='Tablas AR'!$B$12,3,"")))</f>
        <v>3</v>
      </c>
      <c r="I132" s="76">
        <f t="shared" si="1"/>
        <v>9</v>
      </c>
    </row>
    <row r="133" ht="14.25" customHeight="1">
      <c r="B133" s="60" t="s">
        <v>111</v>
      </c>
      <c r="C133" s="84"/>
      <c r="D133" s="48" t="s">
        <v>71</v>
      </c>
      <c r="E133" s="77" t="s">
        <v>41</v>
      </c>
      <c r="F133" s="76">
        <f>IF(E133='Tablas AR'!$B$4,1,IF('Análisis de Riesgos'!E133='Tablas AR'!$B$5,2,IF('Análisis de Riesgos'!E133='Tablas AR'!$B$6,3,"")))</f>
        <v>3</v>
      </c>
      <c r="G133" s="77" t="s">
        <v>41</v>
      </c>
      <c r="H133" s="76">
        <f>IF(G133='Tablas AR'!$B$10,1,IF('Análisis de Riesgos'!G133='Tablas AR'!$B$11,2,IF('Análisis de Riesgos'!G133='Tablas AR'!$B$12,3,"")))</f>
        <v>3</v>
      </c>
      <c r="I133" s="76">
        <f t="shared" si="1"/>
        <v>9</v>
      </c>
    </row>
    <row r="134" ht="14.25" customHeight="1">
      <c r="B134" s="60" t="s">
        <v>111</v>
      </c>
      <c r="C134" s="84"/>
      <c r="D134" s="48" t="s">
        <v>74</v>
      </c>
      <c r="E134" s="77" t="s">
        <v>41</v>
      </c>
      <c r="F134" s="76">
        <f>IF(E134='Tablas AR'!$B$4,1,IF('Análisis de Riesgos'!E134='Tablas AR'!$B$5,2,IF('Análisis de Riesgos'!E134='Tablas AR'!$B$6,3,"")))</f>
        <v>3</v>
      </c>
      <c r="G134" s="77" t="s">
        <v>41</v>
      </c>
      <c r="H134" s="76">
        <f>IF(G134='Tablas AR'!$B$10,1,IF('Análisis de Riesgos'!G134='Tablas AR'!$B$11,2,IF('Análisis de Riesgos'!G134='Tablas AR'!$B$12,3,"")))</f>
        <v>3</v>
      </c>
      <c r="I134" s="76">
        <f t="shared" si="1"/>
        <v>9</v>
      </c>
    </row>
    <row r="135" ht="14.25" customHeight="1">
      <c r="B135" s="60" t="s">
        <v>111</v>
      </c>
      <c r="C135" s="84"/>
      <c r="D135" s="48" t="s">
        <v>77</v>
      </c>
      <c r="E135" s="77" t="s">
        <v>41</v>
      </c>
      <c r="F135" s="76">
        <f>IF(E135='Tablas AR'!$B$4,1,IF('Análisis de Riesgos'!E135='Tablas AR'!$B$5,2,IF('Análisis de Riesgos'!E135='Tablas AR'!$B$6,3,"")))</f>
        <v>3</v>
      </c>
      <c r="G135" s="77" t="s">
        <v>41</v>
      </c>
      <c r="H135" s="76">
        <f>IF(G135='Tablas AR'!$B$10,1,IF('Análisis de Riesgos'!G135='Tablas AR'!$B$11,2,IF('Análisis de Riesgos'!G135='Tablas AR'!$B$12,3,"")))</f>
        <v>3</v>
      </c>
      <c r="I135" s="76">
        <f t="shared" si="1"/>
        <v>9</v>
      </c>
    </row>
    <row r="136" ht="14.25" customHeight="1">
      <c r="B136" s="60" t="s">
        <v>111</v>
      </c>
      <c r="C136" s="84"/>
      <c r="D136" s="78" t="s">
        <v>31</v>
      </c>
      <c r="E136" s="77" t="s">
        <v>39</v>
      </c>
      <c r="F136" s="76">
        <f>IF(E136='Tablas AR'!$B$4,1,IF('Análisis de Riesgos'!E136='Tablas AR'!$B$5,2,IF('Análisis de Riesgos'!E136='Tablas AR'!$B$6,3,"")))</f>
        <v>2</v>
      </c>
      <c r="G136" s="77" t="s">
        <v>37</v>
      </c>
      <c r="H136" s="76">
        <f>IF(G136='Tablas AR'!$B$10,1,IF('Análisis de Riesgos'!G136='Tablas AR'!$B$11,2,IF('Análisis de Riesgos'!G136='Tablas AR'!$B$12,3,"")))</f>
        <v>1</v>
      </c>
      <c r="I136" s="76">
        <f t="shared" si="1"/>
        <v>2</v>
      </c>
    </row>
    <row r="137" ht="14.25" customHeight="1">
      <c r="B137" s="60" t="s">
        <v>111</v>
      </c>
      <c r="C137" s="84"/>
      <c r="D137" s="78" t="s">
        <v>60</v>
      </c>
      <c r="E137" s="77" t="s">
        <v>39</v>
      </c>
      <c r="F137" s="76">
        <f>IF(E137='Tablas AR'!$B$4,1,IF('Análisis de Riesgos'!E137='Tablas AR'!$B$5,2,IF('Análisis de Riesgos'!E137='Tablas AR'!$B$6,3,"")))</f>
        <v>2</v>
      </c>
      <c r="G137" s="77" t="s">
        <v>37</v>
      </c>
      <c r="H137" s="76">
        <f>IF(G137='Tablas AR'!$B$10,1,IF('Análisis de Riesgos'!G137='Tablas AR'!$B$11,2,IF('Análisis de Riesgos'!G137='Tablas AR'!$B$12,3,"")))</f>
        <v>1</v>
      </c>
      <c r="I137" s="76">
        <f t="shared" si="1"/>
        <v>2</v>
      </c>
    </row>
    <row r="138" ht="14.25" customHeight="1">
      <c r="B138" s="60" t="s">
        <v>111</v>
      </c>
      <c r="C138" s="84"/>
      <c r="D138" s="78" t="s">
        <v>63</v>
      </c>
      <c r="E138" s="77" t="s">
        <v>41</v>
      </c>
      <c r="F138" s="76">
        <f>IF(E138='Tablas AR'!$B$4,1,IF('Análisis de Riesgos'!E138='Tablas AR'!$B$5,2,IF('Análisis de Riesgos'!E138='Tablas AR'!$B$6,3,"")))</f>
        <v>3</v>
      </c>
      <c r="G138" s="77" t="s">
        <v>41</v>
      </c>
      <c r="H138" s="76">
        <f>IF(G138='Tablas AR'!$B$10,1,IF('Análisis de Riesgos'!G138='Tablas AR'!$B$11,2,IF('Análisis de Riesgos'!G138='Tablas AR'!$B$12,3,"")))</f>
        <v>3</v>
      </c>
      <c r="I138" s="76">
        <f t="shared" si="1"/>
        <v>9</v>
      </c>
    </row>
    <row r="139" ht="14.25" customHeight="1">
      <c r="B139" s="60" t="s">
        <v>111</v>
      </c>
      <c r="C139" s="84"/>
      <c r="D139" s="78" t="s">
        <v>65</v>
      </c>
      <c r="E139" s="77" t="s">
        <v>41</v>
      </c>
      <c r="F139" s="76">
        <f>IF(E139='Tablas AR'!$B$4,1,IF('Análisis de Riesgos'!E139='Tablas AR'!$B$5,2,IF('Análisis de Riesgos'!E139='Tablas AR'!$B$6,3,"")))</f>
        <v>3</v>
      </c>
      <c r="G139" s="77" t="s">
        <v>41</v>
      </c>
      <c r="H139" s="76">
        <f>IF(G139='Tablas AR'!$B$10,1,IF('Análisis de Riesgos'!G139='Tablas AR'!$B$11,2,IF('Análisis de Riesgos'!G139='Tablas AR'!$B$12,3,"")))</f>
        <v>3</v>
      </c>
      <c r="I139" s="76">
        <f t="shared" si="1"/>
        <v>9</v>
      </c>
    </row>
    <row r="140" ht="14.25" customHeight="1">
      <c r="B140" s="60" t="s">
        <v>111</v>
      </c>
      <c r="C140" s="84"/>
      <c r="D140" s="78" t="s">
        <v>66</v>
      </c>
      <c r="E140" s="77" t="s">
        <v>37</v>
      </c>
      <c r="F140" s="76">
        <f>IF(E140='Tablas AR'!$B$4,1,IF('Análisis de Riesgos'!E140='Tablas AR'!$B$5,2,IF('Análisis de Riesgos'!E140='Tablas AR'!$B$6,3,"")))</f>
        <v>1</v>
      </c>
      <c r="G140" s="77" t="s">
        <v>39</v>
      </c>
      <c r="H140" s="76">
        <f>IF(G140='Tablas AR'!$B$10,1,IF('Análisis de Riesgos'!G140='Tablas AR'!$B$11,2,IF('Análisis de Riesgos'!G140='Tablas AR'!$B$12,3,"")))</f>
        <v>2</v>
      </c>
      <c r="I140" s="76">
        <f t="shared" si="1"/>
        <v>2</v>
      </c>
    </row>
    <row r="141" ht="14.25" customHeight="1">
      <c r="B141" s="60" t="s">
        <v>111</v>
      </c>
      <c r="C141" s="84"/>
      <c r="D141" s="80" t="s">
        <v>26</v>
      </c>
      <c r="E141" s="77" t="s">
        <v>39</v>
      </c>
      <c r="F141" s="76">
        <f>IF(E141='Tablas AR'!$B$4,1,IF('Análisis de Riesgos'!E141='Tablas AR'!$B$5,2,IF('Análisis de Riesgos'!E141='Tablas AR'!$B$6,3,"")))</f>
        <v>2</v>
      </c>
      <c r="G141" s="77" t="s">
        <v>41</v>
      </c>
      <c r="H141" s="76">
        <f>IF(G141='Tablas AR'!$B$10,1,IF('Análisis de Riesgos'!G141='Tablas AR'!$B$11,2,IF('Análisis de Riesgos'!G141='Tablas AR'!$B$12,3,"")))</f>
        <v>3</v>
      </c>
      <c r="I141" s="76">
        <f t="shared" si="1"/>
        <v>6</v>
      </c>
    </row>
    <row r="142" ht="14.25" customHeight="1">
      <c r="B142" s="60" t="s">
        <v>111</v>
      </c>
      <c r="C142" s="84"/>
      <c r="D142" s="80" t="s">
        <v>72</v>
      </c>
      <c r="E142" s="77" t="s">
        <v>39</v>
      </c>
      <c r="F142" s="76">
        <f>IF(E142='Tablas AR'!$B$4,1,IF('Análisis de Riesgos'!E142='Tablas AR'!$B$5,2,IF('Análisis de Riesgos'!E142='Tablas AR'!$B$6,3,"")))</f>
        <v>2</v>
      </c>
      <c r="G142" s="77" t="s">
        <v>41</v>
      </c>
      <c r="H142" s="76">
        <f>IF(G142='Tablas AR'!$B$10,1,IF('Análisis de Riesgos'!G142='Tablas AR'!$B$11,2,IF('Análisis de Riesgos'!G142='Tablas AR'!$B$12,3,"")))</f>
        <v>3</v>
      </c>
      <c r="I142" s="76">
        <f t="shared" si="1"/>
        <v>6</v>
      </c>
    </row>
    <row r="143" ht="14.25" customHeight="1">
      <c r="B143" s="60" t="s">
        <v>111</v>
      </c>
      <c r="C143" s="84"/>
      <c r="D143" s="80" t="s">
        <v>75</v>
      </c>
      <c r="E143" s="77" t="s">
        <v>39</v>
      </c>
      <c r="F143" s="76">
        <f>IF(E143='Tablas AR'!$B$4,1,IF('Análisis de Riesgos'!E143='Tablas AR'!$B$5,2,IF('Análisis de Riesgos'!E143='Tablas AR'!$B$6,3,"")))</f>
        <v>2</v>
      </c>
      <c r="G143" s="77" t="s">
        <v>41</v>
      </c>
      <c r="H143" s="76">
        <f>IF(G143='Tablas AR'!$B$10,1,IF('Análisis de Riesgos'!G143='Tablas AR'!$B$11,2,IF('Análisis de Riesgos'!G143='Tablas AR'!$B$12,3,"")))</f>
        <v>3</v>
      </c>
      <c r="I143" s="76">
        <f t="shared" si="1"/>
        <v>6</v>
      </c>
    </row>
    <row r="144" ht="14.25" customHeight="1">
      <c r="B144" s="60" t="s">
        <v>111</v>
      </c>
      <c r="C144" s="84"/>
      <c r="D144" s="80" t="s">
        <v>78</v>
      </c>
      <c r="E144" s="77" t="s">
        <v>39</v>
      </c>
      <c r="F144" s="76">
        <f>IF(E144='Tablas AR'!$B$4,1,IF('Análisis de Riesgos'!E144='Tablas AR'!$B$5,2,IF('Análisis de Riesgos'!E144='Tablas AR'!$B$6,3,"")))</f>
        <v>2</v>
      </c>
      <c r="G144" s="77" t="s">
        <v>41</v>
      </c>
      <c r="H144" s="76">
        <f>IF(G144='Tablas AR'!$B$10,1,IF('Análisis de Riesgos'!G144='Tablas AR'!$B$11,2,IF('Análisis de Riesgos'!G144='Tablas AR'!$B$12,3,"")))</f>
        <v>3</v>
      </c>
      <c r="I144" s="76">
        <f t="shared" si="1"/>
        <v>6</v>
      </c>
    </row>
    <row r="145" ht="14.25" customHeight="1">
      <c r="B145" s="60" t="s">
        <v>111</v>
      </c>
      <c r="C145" s="84"/>
      <c r="D145" s="80" t="s">
        <v>28</v>
      </c>
      <c r="E145" s="77" t="s">
        <v>39</v>
      </c>
      <c r="F145" s="76">
        <f>IF(E145='Tablas AR'!$B$4,1,IF('Análisis de Riesgos'!E145='Tablas AR'!$B$5,2,IF('Análisis de Riesgos'!E145='Tablas AR'!$B$6,3,"")))</f>
        <v>2</v>
      </c>
      <c r="G145" s="77" t="s">
        <v>39</v>
      </c>
      <c r="H145" s="76">
        <f>IF(G145='Tablas AR'!$B$10,1,IF('Análisis de Riesgos'!G145='Tablas AR'!$B$11,2,IF('Análisis de Riesgos'!G145='Tablas AR'!$B$12,3,"")))</f>
        <v>2</v>
      </c>
      <c r="I145" s="76">
        <f t="shared" si="1"/>
        <v>4</v>
      </c>
    </row>
    <row r="146" ht="14.25" customHeight="1">
      <c r="B146" s="60" t="s">
        <v>111</v>
      </c>
      <c r="C146" s="84"/>
      <c r="D146" s="80" t="s">
        <v>79</v>
      </c>
      <c r="E146" s="77" t="s">
        <v>37</v>
      </c>
      <c r="F146" s="76">
        <f>IF(E146='Tablas AR'!$B$4,1,IF('Análisis de Riesgos'!E146='Tablas AR'!$B$5,2,IF('Análisis de Riesgos'!E146='Tablas AR'!$B$6,3,"")))</f>
        <v>1</v>
      </c>
      <c r="G146" s="77" t="s">
        <v>37</v>
      </c>
      <c r="H146" s="76">
        <f>IF(G146='Tablas AR'!$B$10,1,IF('Análisis de Riesgos'!G146='Tablas AR'!$B$11,2,IF('Análisis de Riesgos'!G146='Tablas AR'!$B$12,3,"")))</f>
        <v>1</v>
      </c>
      <c r="I146" s="76">
        <f t="shared" si="1"/>
        <v>1</v>
      </c>
    </row>
    <row r="147" ht="14.25" customHeight="1">
      <c r="B147" s="60" t="s">
        <v>111</v>
      </c>
      <c r="C147" s="84"/>
      <c r="D147" s="80" t="s">
        <v>70</v>
      </c>
      <c r="E147" s="77" t="s">
        <v>37</v>
      </c>
      <c r="F147" s="76">
        <f>IF(E147='Tablas AR'!$B$4,1,IF('Análisis de Riesgos'!E147='Tablas AR'!$B$5,2,IF('Análisis de Riesgos'!E147='Tablas AR'!$B$6,3,"")))</f>
        <v>1</v>
      </c>
      <c r="G147" s="77" t="s">
        <v>37</v>
      </c>
      <c r="H147" s="76">
        <f>IF(G147='Tablas AR'!$B$10,1,IF('Análisis de Riesgos'!G147='Tablas AR'!$B$11,2,IF('Análisis de Riesgos'!G147='Tablas AR'!$B$12,3,"")))</f>
        <v>1</v>
      </c>
      <c r="I147" s="76">
        <f t="shared" si="1"/>
        <v>1</v>
      </c>
    </row>
    <row r="148" ht="14.25" customHeight="1">
      <c r="B148" s="60" t="s">
        <v>111</v>
      </c>
      <c r="C148" s="84"/>
      <c r="D148" s="80" t="s">
        <v>80</v>
      </c>
      <c r="E148" s="77" t="s">
        <v>39</v>
      </c>
      <c r="F148" s="76">
        <f>IF(E148='Tablas AR'!$B$4,1,IF('Análisis de Riesgos'!E148='Tablas AR'!$B$5,2,IF('Análisis de Riesgos'!E148='Tablas AR'!$B$6,3,"")))</f>
        <v>2</v>
      </c>
      <c r="G148" s="77" t="s">
        <v>41</v>
      </c>
      <c r="H148" s="76">
        <f>IF(G148='Tablas AR'!$B$10,1,IF('Análisis de Riesgos'!G148='Tablas AR'!$B$11,2,IF('Análisis de Riesgos'!G148='Tablas AR'!$B$12,3,"")))</f>
        <v>3</v>
      </c>
      <c r="I148" s="76">
        <f t="shared" si="1"/>
        <v>6</v>
      </c>
    </row>
    <row r="149" ht="14.25" customHeight="1">
      <c r="B149" s="60" t="s">
        <v>111</v>
      </c>
      <c r="C149" s="84"/>
      <c r="D149" s="80" t="s">
        <v>81</v>
      </c>
      <c r="E149" s="77" t="s">
        <v>39</v>
      </c>
      <c r="F149" s="76">
        <f>IF(E149='Tablas AR'!$B$4,1,IF('Análisis de Riesgos'!E149='Tablas AR'!$B$5,2,IF('Análisis de Riesgos'!E149='Tablas AR'!$B$6,3,"")))</f>
        <v>2</v>
      </c>
      <c r="G149" s="77" t="s">
        <v>41</v>
      </c>
      <c r="H149" s="76">
        <f>IF(G149='Tablas AR'!$B$10,1,IF('Análisis de Riesgos'!G149='Tablas AR'!$B$11,2,IF('Análisis de Riesgos'!G149='Tablas AR'!$B$12,3,"")))</f>
        <v>3</v>
      </c>
      <c r="I149" s="76">
        <f t="shared" si="1"/>
        <v>6</v>
      </c>
    </row>
    <row r="150" ht="14.25" customHeight="1">
      <c r="B150" s="60" t="s">
        <v>111</v>
      </c>
      <c r="C150" s="84"/>
      <c r="D150" s="81" t="s">
        <v>58</v>
      </c>
      <c r="E150" s="77" t="s">
        <v>37</v>
      </c>
      <c r="F150" s="76">
        <f>IF(E150='Tablas AR'!$B$4,1,IF('Análisis de Riesgos'!E150='Tablas AR'!$B$5,2,IF('Análisis de Riesgos'!E150='Tablas AR'!$B$6,3,"")))</f>
        <v>1</v>
      </c>
      <c r="G150" s="77" t="s">
        <v>37</v>
      </c>
      <c r="H150" s="76">
        <f>IF(G150='Tablas AR'!$B$10,1,IF('Análisis de Riesgos'!G150='Tablas AR'!$B$11,2,IF('Análisis de Riesgos'!G150='Tablas AR'!$B$12,3,"")))</f>
        <v>1</v>
      </c>
      <c r="I150" s="76">
        <f t="shared" si="1"/>
        <v>1</v>
      </c>
    </row>
    <row r="151" ht="14.25" customHeight="1">
      <c r="B151" s="60" t="s">
        <v>111</v>
      </c>
      <c r="C151" s="84"/>
      <c r="D151" s="81" t="s">
        <v>61</v>
      </c>
      <c r="E151" s="77" t="s">
        <v>39</v>
      </c>
      <c r="F151" s="76">
        <f>IF(E151='Tablas AR'!$B$4,1,IF('Análisis de Riesgos'!E151='Tablas AR'!$B$5,2,IF('Análisis de Riesgos'!E151='Tablas AR'!$B$6,3,"")))</f>
        <v>2</v>
      </c>
      <c r="G151" s="77" t="s">
        <v>39</v>
      </c>
      <c r="H151" s="76">
        <f>IF(G151='Tablas AR'!$B$10,1,IF('Análisis de Riesgos'!G151='Tablas AR'!$B$11,2,IF('Análisis de Riesgos'!G151='Tablas AR'!$B$12,3,"")))</f>
        <v>2</v>
      </c>
      <c r="I151" s="76">
        <f t="shared" si="1"/>
        <v>4</v>
      </c>
    </row>
    <row r="152" ht="14.25" customHeight="1">
      <c r="B152" s="60" t="s">
        <v>111</v>
      </c>
      <c r="C152" s="84"/>
      <c r="D152" s="81" t="s">
        <v>64</v>
      </c>
      <c r="E152" s="77" t="s">
        <v>41</v>
      </c>
      <c r="F152" s="76">
        <f>IF(E152='Tablas AR'!$B$4,1,IF('Análisis de Riesgos'!E152='Tablas AR'!$B$5,2,IF('Análisis de Riesgos'!E152='Tablas AR'!$B$6,3,"")))</f>
        <v>3</v>
      </c>
      <c r="G152" s="77" t="s">
        <v>41</v>
      </c>
      <c r="H152" s="76">
        <f>IF(G152='Tablas AR'!$B$10,1,IF('Análisis de Riesgos'!G152='Tablas AR'!$B$11,2,IF('Análisis de Riesgos'!G152='Tablas AR'!$B$12,3,"")))</f>
        <v>3</v>
      </c>
      <c r="I152" s="76">
        <f t="shared" si="1"/>
        <v>9</v>
      </c>
    </row>
    <row r="153" ht="14.25" customHeight="1">
      <c r="B153" s="60" t="s">
        <v>111</v>
      </c>
      <c r="C153" s="84"/>
      <c r="D153" s="82" t="s">
        <v>29</v>
      </c>
      <c r="E153" s="77" t="s">
        <v>41</v>
      </c>
      <c r="F153" s="76">
        <f>IF(E153='Tablas AR'!$B$4,1,IF('Análisis de Riesgos'!E153='Tablas AR'!$B$5,2,IF('Análisis de Riesgos'!E153='Tablas AR'!$B$6,3,"")))</f>
        <v>3</v>
      </c>
      <c r="G153" s="77" t="s">
        <v>41</v>
      </c>
      <c r="H153" s="76">
        <f>IF(G153='Tablas AR'!$B$10,1,IF('Análisis de Riesgos'!G153='Tablas AR'!$B$11,2,IF('Análisis de Riesgos'!G153='Tablas AR'!$B$12,3,"")))</f>
        <v>3</v>
      </c>
      <c r="I153" s="76">
        <f t="shared" si="1"/>
        <v>9</v>
      </c>
    </row>
    <row r="154" ht="14.25" customHeight="1">
      <c r="B154" s="60" t="s">
        <v>111</v>
      </c>
      <c r="C154" s="84"/>
      <c r="D154" s="82" t="s">
        <v>68</v>
      </c>
      <c r="E154" s="77" t="s">
        <v>37</v>
      </c>
      <c r="F154" s="76">
        <f>IF(E154='Tablas AR'!$B$4,1,IF('Análisis de Riesgos'!E154='Tablas AR'!$B$5,2,IF('Análisis de Riesgos'!E154='Tablas AR'!$B$6,3,"")))</f>
        <v>1</v>
      </c>
      <c r="G154" s="77" t="s">
        <v>37</v>
      </c>
      <c r="H154" s="76">
        <f>IF(G154='Tablas AR'!$B$10,1,IF('Análisis de Riesgos'!G154='Tablas AR'!$B$11,2,IF('Análisis de Riesgos'!G154='Tablas AR'!$B$12,3,"")))</f>
        <v>1</v>
      </c>
      <c r="I154" s="76">
        <f t="shared" si="1"/>
        <v>1</v>
      </c>
    </row>
    <row r="155" ht="14.25" customHeight="1">
      <c r="B155" s="60" t="s">
        <v>111</v>
      </c>
      <c r="C155" s="84"/>
      <c r="D155" s="82" t="s">
        <v>70</v>
      </c>
      <c r="E155" s="77" t="s">
        <v>37</v>
      </c>
      <c r="F155" s="76">
        <f>IF(E155='Tablas AR'!$B$4,1,IF('Análisis de Riesgos'!E155='Tablas AR'!$B$5,2,IF('Análisis de Riesgos'!E155='Tablas AR'!$B$6,3,"")))</f>
        <v>1</v>
      </c>
      <c r="G155" s="77" t="s">
        <v>37</v>
      </c>
      <c r="H155" s="76">
        <f>IF(G155='Tablas AR'!$B$10,1,IF('Análisis de Riesgos'!G155='Tablas AR'!$B$11,2,IF('Análisis de Riesgos'!G155='Tablas AR'!$B$12,3,"")))</f>
        <v>1</v>
      </c>
      <c r="I155" s="76">
        <f t="shared" si="1"/>
        <v>1</v>
      </c>
    </row>
    <row r="156" ht="14.25" customHeight="1">
      <c r="B156" s="60" t="s">
        <v>111</v>
      </c>
      <c r="C156" s="84"/>
      <c r="D156" s="82" t="s">
        <v>73</v>
      </c>
      <c r="E156" s="77" t="s">
        <v>41</v>
      </c>
      <c r="F156" s="76">
        <f>IF(E156='Tablas AR'!$B$4,1,IF('Análisis de Riesgos'!E156='Tablas AR'!$B$5,2,IF('Análisis de Riesgos'!E156='Tablas AR'!$B$6,3,"")))</f>
        <v>3</v>
      </c>
      <c r="G156" s="77" t="s">
        <v>41</v>
      </c>
      <c r="H156" s="76">
        <f>IF(G156='Tablas AR'!$B$10,1,IF('Análisis de Riesgos'!G156='Tablas AR'!$B$11,2,IF('Análisis de Riesgos'!G156='Tablas AR'!$B$12,3,"")))</f>
        <v>3</v>
      </c>
      <c r="I156" s="76">
        <f t="shared" si="1"/>
        <v>9</v>
      </c>
    </row>
    <row r="157" ht="14.25" customHeight="1">
      <c r="B157" s="60" t="s">
        <v>111</v>
      </c>
      <c r="C157" s="84"/>
      <c r="D157" s="82" t="s">
        <v>76</v>
      </c>
      <c r="E157" s="77" t="s">
        <v>39</v>
      </c>
      <c r="F157" s="76">
        <f>IF(E157='Tablas AR'!$B$4,1,IF('Análisis de Riesgos'!E157='Tablas AR'!$B$5,2,IF('Análisis de Riesgos'!E157='Tablas AR'!$B$6,3,"")))</f>
        <v>2</v>
      </c>
      <c r="G157" s="77" t="s">
        <v>39</v>
      </c>
      <c r="H157" s="76">
        <f>IF(G157='Tablas AR'!$B$10,1,IF('Análisis de Riesgos'!G157='Tablas AR'!$B$11,2,IF('Análisis de Riesgos'!G157='Tablas AR'!$B$12,3,"")))</f>
        <v>2</v>
      </c>
      <c r="I157" s="76">
        <f t="shared" si="1"/>
        <v>4</v>
      </c>
    </row>
    <row r="158" ht="14.25" customHeight="1">
      <c r="B158" s="60" t="s">
        <v>113</v>
      </c>
      <c r="C158" s="84"/>
      <c r="D158" s="45" t="s">
        <v>57</v>
      </c>
      <c r="E158" s="77" t="s">
        <v>37</v>
      </c>
      <c r="F158" s="76">
        <f>IF(E158='Tablas AR'!$B$4,1,IF('Análisis de Riesgos'!E158='Tablas AR'!$B$5,2,IF('Análisis de Riesgos'!E158='Tablas AR'!$B$6,3,"")))</f>
        <v>1</v>
      </c>
      <c r="G158" s="77" t="s">
        <v>37</v>
      </c>
      <c r="H158" s="76">
        <f>IF(G158='Tablas AR'!$B$10,1,IF('Análisis de Riesgos'!G158='Tablas AR'!$B$11,2,IF('Análisis de Riesgos'!G158='Tablas AR'!$B$12,3,"")))</f>
        <v>1</v>
      </c>
      <c r="I158" s="76">
        <f t="shared" si="1"/>
        <v>1</v>
      </c>
    </row>
    <row r="159" ht="14.25" customHeight="1">
      <c r="B159" s="60" t="s">
        <v>113</v>
      </c>
      <c r="C159" s="84"/>
      <c r="D159" s="45" t="s">
        <v>59</v>
      </c>
      <c r="E159" s="77" t="s">
        <v>37</v>
      </c>
      <c r="F159" s="76">
        <f>IF(E159='Tablas AR'!$B$4,1,IF('Análisis de Riesgos'!E159='Tablas AR'!$B$5,2,IF('Análisis de Riesgos'!E159='Tablas AR'!$B$6,3,"")))</f>
        <v>1</v>
      </c>
      <c r="G159" s="77" t="s">
        <v>37</v>
      </c>
      <c r="H159" s="76">
        <f>IF(G159='Tablas AR'!$B$10,1,IF('Análisis de Riesgos'!G159='Tablas AR'!$B$11,2,IF('Análisis de Riesgos'!G159='Tablas AR'!$B$12,3,"")))</f>
        <v>1</v>
      </c>
      <c r="I159" s="76">
        <f t="shared" si="1"/>
        <v>1</v>
      </c>
    </row>
    <row r="160" ht="14.25" customHeight="1">
      <c r="B160" s="60" t="s">
        <v>113</v>
      </c>
      <c r="C160" s="84"/>
      <c r="D160" s="45" t="s">
        <v>62</v>
      </c>
      <c r="E160" s="77" t="s">
        <v>37</v>
      </c>
      <c r="F160" s="76">
        <f>IF(E160='Tablas AR'!$B$4,1,IF('Análisis de Riesgos'!E160='Tablas AR'!$B$5,2,IF('Análisis de Riesgos'!E160='Tablas AR'!$B$6,3,"")))</f>
        <v>1</v>
      </c>
      <c r="G160" s="77" t="s">
        <v>37</v>
      </c>
      <c r="H160" s="76">
        <f>IF(G160='Tablas AR'!$B$10,1,IF('Análisis de Riesgos'!G160='Tablas AR'!$B$11,2,IF('Análisis de Riesgos'!G160='Tablas AR'!$B$12,3,"")))</f>
        <v>1</v>
      </c>
      <c r="I160" s="76">
        <f t="shared" si="1"/>
        <v>1</v>
      </c>
    </row>
    <row r="161" ht="14.25" customHeight="1">
      <c r="B161" s="60" t="s">
        <v>113</v>
      </c>
      <c r="C161" s="84"/>
      <c r="D161" s="48" t="s">
        <v>25</v>
      </c>
      <c r="E161" s="77" t="s">
        <v>41</v>
      </c>
      <c r="F161" s="76">
        <f>IF(E161='Tablas AR'!$B$4,1,IF('Análisis de Riesgos'!E161='Tablas AR'!$B$5,2,IF('Análisis de Riesgos'!E161='Tablas AR'!$B$6,3,"")))</f>
        <v>3</v>
      </c>
      <c r="G161" s="77" t="s">
        <v>41</v>
      </c>
      <c r="H161" s="76">
        <f>IF(G161='Tablas AR'!$B$10,1,IF('Análisis de Riesgos'!G161='Tablas AR'!$B$11,2,IF('Análisis de Riesgos'!G161='Tablas AR'!$B$12,3,"")))</f>
        <v>3</v>
      </c>
      <c r="I161" s="76">
        <f t="shared" si="1"/>
        <v>9</v>
      </c>
    </row>
    <row r="162" ht="14.25" customHeight="1">
      <c r="B162" s="60" t="s">
        <v>113</v>
      </c>
      <c r="C162" s="84"/>
      <c r="D162" s="48" t="s">
        <v>67</v>
      </c>
      <c r="E162" s="77" t="s">
        <v>41</v>
      </c>
      <c r="F162" s="76">
        <f>IF(E162='Tablas AR'!$B$4,1,IF('Análisis de Riesgos'!E162='Tablas AR'!$B$5,2,IF('Análisis de Riesgos'!E162='Tablas AR'!$B$6,3,"")))</f>
        <v>3</v>
      </c>
      <c r="G162" s="77" t="s">
        <v>41</v>
      </c>
      <c r="H162" s="76">
        <f>IF(G162='Tablas AR'!$B$10,1,IF('Análisis de Riesgos'!G162='Tablas AR'!$B$11,2,IF('Análisis de Riesgos'!G162='Tablas AR'!$B$12,3,"")))</f>
        <v>3</v>
      </c>
      <c r="I162" s="76">
        <f t="shared" si="1"/>
        <v>9</v>
      </c>
    </row>
    <row r="163" ht="14.25" customHeight="1">
      <c r="B163" s="60" t="s">
        <v>113</v>
      </c>
      <c r="C163" s="84"/>
      <c r="D163" s="48" t="s">
        <v>69</v>
      </c>
      <c r="E163" s="77" t="s">
        <v>41</v>
      </c>
      <c r="F163" s="76">
        <f>IF(E163='Tablas AR'!$B$4,1,IF('Análisis de Riesgos'!E163='Tablas AR'!$B$5,2,IF('Análisis de Riesgos'!E163='Tablas AR'!$B$6,3,"")))</f>
        <v>3</v>
      </c>
      <c r="G163" s="77" t="s">
        <v>41</v>
      </c>
      <c r="H163" s="76">
        <f>IF(G163='Tablas AR'!$B$10,1,IF('Análisis de Riesgos'!G163='Tablas AR'!$B$11,2,IF('Análisis de Riesgos'!G163='Tablas AR'!$B$12,3,"")))</f>
        <v>3</v>
      </c>
      <c r="I163" s="76">
        <f t="shared" si="1"/>
        <v>9</v>
      </c>
    </row>
    <row r="164" ht="14.25" customHeight="1">
      <c r="B164" s="60" t="s">
        <v>113</v>
      </c>
      <c r="C164" s="84"/>
      <c r="D164" s="48" t="s">
        <v>71</v>
      </c>
      <c r="E164" s="77" t="s">
        <v>41</v>
      </c>
      <c r="F164" s="76">
        <f>IF(E164='Tablas AR'!$B$4,1,IF('Análisis de Riesgos'!E164='Tablas AR'!$B$5,2,IF('Análisis de Riesgos'!E164='Tablas AR'!$B$6,3,"")))</f>
        <v>3</v>
      </c>
      <c r="G164" s="77" t="s">
        <v>41</v>
      </c>
      <c r="H164" s="76">
        <f>IF(G164='Tablas AR'!$B$10,1,IF('Análisis de Riesgos'!G164='Tablas AR'!$B$11,2,IF('Análisis de Riesgos'!G164='Tablas AR'!$B$12,3,"")))</f>
        <v>3</v>
      </c>
      <c r="I164" s="76">
        <f t="shared" si="1"/>
        <v>9</v>
      </c>
    </row>
    <row r="165" ht="14.25" customHeight="1">
      <c r="B165" s="60" t="s">
        <v>113</v>
      </c>
      <c r="C165" s="84"/>
      <c r="D165" s="48" t="s">
        <v>74</v>
      </c>
      <c r="E165" s="77" t="s">
        <v>41</v>
      </c>
      <c r="F165" s="76">
        <f>IF(E165='Tablas AR'!$B$4,1,IF('Análisis de Riesgos'!E165='Tablas AR'!$B$5,2,IF('Análisis de Riesgos'!E165='Tablas AR'!$B$6,3,"")))</f>
        <v>3</v>
      </c>
      <c r="G165" s="77" t="s">
        <v>41</v>
      </c>
      <c r="H165" s="76">
        <f>IF(G165='Tablas AR'!$B$10,1,IF('Análisis de Riesgos'!G165='Tablas AR'!$B$11,2,IF('Análisis de Riesgos'!G165='Tablas AR'!$B$12,3,"")))</f>
        <v>3</v>
      </c>
      <c r="I165" s="76">
        <f t="shared" si="1"/>
        <v>9</v>
      </c>
    </row>
    <row r="166" ht="14.25" customHeight="1">
      <c r="B166" s="60" t="s">
        <v>113</v>
      </c>
      <c r="C166" s="84"/>
      <c r="D166" s="48" t="s">
        <v>77</v>
      </c>
      <c r="E166" s="77" t="s">
        <v>41</v>
      </c>
      <c r="F166" s="76">
        <f>IF(E166='Tablas AR'!$B$4,1,IF('Análisis de Riesgos'!E166='Tablas AR'!$B$5,2,IF('Análisis de Riesgos'!E166='Tablas AR'!$B$6,3,"")))</f>
        <v>3</v>
      </c>
      <c r="G166" s="77" t="s">
        <v>41</v>
      </c>
      <c r="H166" s="76">
        <f>IF(G166='Tablas AR'!$B$10,1,IF('Análisis de Riesgos'!G166='Tablas AR'!$B$11,2,IF('Análisis de Riesgos'!G166='Tablas AR'!$B$12,3,"")))</f>
        <v>3</v>
      </c>
      <c r="I166" s="76">
        <f t="shared" si="1"/>
        <v>9</v>
      </c>
    </row>
    <row r="167" ht="14.25" customHeight="1">
      <c r="B167" s="60" t="s">
        <v>113</v>
      </c>
      <c r="C167" s="84"/>
      <c r="D167" s="78" t="s">
        <v>31</v>
      </c>
      <c r="E167" s="77" t="s">
        <v>37</v>
      </c>
      <c r="F167" s="76">
        <f>IF(E167='Tablas AR'!$B$4,1,IF('Análisis de Riesgos'!E167='Tablas AR'!$B$5,2,IF('Análisis de Riesgos'!E167='Tablas AR'!$B$6,3,"")))</f>
        <v>1</v>
      </c>
      <c r="G167" s="77" t="s">
        <v>41</v>
      </c>
      <c r="H167" s="76">
        <f>IF(G167='Tablas AR'!$B$10,1,IF('Análisis de Riesgos'!G167='Tablas AR'!$B$11,2,IF('Análisis de Riesgos'!G167='Tablas AR'!$B$12,3,"")))</f>
        <v>3</v>
      </c>
      <c r="I167" s="76">
        <f t="shared" si="1"/>
        <v>3</v>
      </c>
    </row>
    <row r="168" ht="14.25" customHeight="1">
      <c r="B168" s="60" t="s">
        <v>113</v>
      </c>
      <c r="C168" s="84"/>
      <c r="D168" s="78" t="s">
        <v>60</v>
      </c>
      <c r="E168" s="77" t="s">
        <v>37</v>
      </c>
      <c r="F168" s="76">
        <f>IF(E168='Tablas AR'!$B$4,1,IF('Análisis de Riesgos'!E168='Tablas AR'!$B$5,2,IF('Análisis de Riesgos'!E168='Tablas AR'!$B$6,3,"")))</f>
        <v>1</v>
      </c>
      <c r="G168" s="77" t="s">
        <v>41</v>
      </c>
      <c r="H168" s="76">
        <f>IF(G168='Tablas AR'!$B$10,1,IF('Análisis de Riesgos'!G168='Tablas AR'!$B$11,2,IF('Análisis de Riesgos'!G168='Tablas AR'!$B$12,3,"")))</f>
        <v>3</v>
      </c>
      <c r="I168" s="76">
        <f t="shared" si="1"/>
        <v>3</v>
      </c>
    </row>
    <row r="169" ht="14.25" customHeight="1">
      <c r="B169" s="60" t="s">
        <v>113</v>
      </c>
      <c r="C169" s="84"/>
      <c r="D169" s="78" t="s">
        <v>63</v>
      </c>
      <c r="E169" s="77" t="s">
        <v>39</v>
      </c>
      <c r="F169" s="76">
        <f>IF(E169='Tablas AR'!$B$4,1,IF('Análisis de Riesgos'!E169='Tablas AR'!$B$5,2,IF('Análisis de Riesgos'!E169='Tablas AR'!$B$6,3,"")))</f>
        <v>2</v>
      </c>
      <c r="G169" s="77" t="s">
        <v>41</v>
      </c>
      <c r="H169" s="76">
        <f>IF(G169='Tablas AR'!$B$10,1,IF('Análisis de Riesgos'!G169='Tablas AR'!$B$11,2,IF('Análisis de Riesgos'!G169='Tablas AR'!$B$12,3,"")))</f>
        <v>3</v>
      </c>
      <c r="I169" s="76">
        <f t="shared" si="1"/>
        <v>6</v>
      </c>
    </row>
    <row r="170" ht="14.25" customHeight="1">
      <c r="B170" s="60" t="s">
        <v>113</v>
      </c>
      <c r="C170" s="84"/>
      <c r="D170" s="78" t="s">
        <v>65</v>
      </c>
      <c r="E170" s="77" t="s">
        <v>39</v>
      </c>
      <c r="F170" s="76">
        <f>IF(E170='Tablas AR'!$B$4,1,IF('Análisis de Riesgos'!E170='Tablas AR'!$B$5,2,IF('Análisis de Riesgos'!E170='Tablas AR'!$B$6,3,"")))</f>
        <v>2</v>
      </c>
      <c r="G170" s="77" t="s">
        <v>39</v>
      </c>
      <c r="H170" s="76">
        <f>IF(G170='Tablas AR'!$B$10,1,IF('Análisis de Riesgos'!G170='Tablas AR'!$B$11,2,IF('Análisis de Riesgos'!G170='Tablas AR'!$B$12,3,"")))</f>
        <v>2</v>
      </c>
      <c r="I170" s="76">
        <f t="shared" si="1"/>
        <v>4</v>
      </c>
    </row>
    <row r="171" ht="14.25" customHeight="1">
      <c r="B171" s="60" t="s">
        <v>113</v>
      </c>
      <c r="C171" s="84"/>
      <c r="D171" s="78" t="s">
        <v>66</v>
      </c>
      <c r="E171" s="77" t="s">
        <v>37</v>
      </c>
      <c r="F171" s="76">
        <f>IF(E171='Tablas AR'!$B$4,1,IF('Análisis de Riesgos'!E171='Tablas AR'!$B$5,2,IF('Análisis de Riesgos'!E171='Tablas AR'!$B$6,3,"")))</f>
        <v>1</v>
      </c>
      <c r="G171" s="77" t="s">
        <v>39</v>
      </c>
      <c r="H171" s="76">
        <f>IF(G171='Tablas AR'!$B$10,1,IF('Análisis de Riesgos'!G171='Tablas AR'!$B$11,2,IF('Análisis de Riesgos'!G171='Tablas AR'!$B$12,3,"")))</f>
        <v>2</v>
      </c>
      <c r="I171" s="76">
        <f t="shared" si="1"/>
        <v>2</v>
      </c>
    </row>
    <row r="172" ht="14.25" customHeight="1">
      <c r="B172" s="60" t="s">
        <v>113</v>
      </c>
      <c r="C172" s="84"/>
      <c r="D172" s="80" t="s">
        <v>26</v>
      </c>
      <c r="E172" s="77" t="s">
        <v>41</v>
      </c>
      <c r="F172" s="76">
        <f>IF(E172='Tablas AR'!$B$4,1,IF('Análisis de Riesgos'!E172='Tablas AR'!$B$5,2,IF('Análisis de Riesgos'!E172='Tablas AR'!$B$6,3,"")))</f>
        <v>3</v>
      </c>
      <c r="G172" s="77" t="s">
        <v>41</v>
      </c>
      <c r="H172" s="76">
        <f>IF(G172='Tablas AR'!$B$10,1,IF('Análisis de Riesgos'!G172='Tablas AR'!$B$11,2,IF('Análisis de Riesgos'!G172='Tablas AR'!$B$12,3,"")))</f>
        <v>3</v>
      </c>
      <c r="I172" s="76">
        <f t="shared" si="1"/>
        <v>9</v>
      </c>
    </row>
    <row r="173" ht="14.25" customHeight="1">
      <c r="B173" s="60" t="s">
        <v>113</v>
      </c>
      <c r="C173" s="84"/>
      <c r="D173" s="80" t="s">
        <v>72</v>
      </c>
      <c r="E173" s="77" t="s">
        <v>41</v>
      </c>
      <c r="F173" s="76">
        <f>IF(E173='Tablas AR'!$B$4,1,IF('Análisis de Riesgos'!E173='Tablas AR'!$B$5,2,IF('Análisis de Riesgos'!E173='Tablas AR'!$B$6,3,"")))</f>
        <v>3</v>
      </c>
      <c r="G173" s="77" t="s">
        <v>41</v>
      </c>
      <c r="H173" s="76">
        <f>IF(G173='Tablas AR'!$B$10,1,IF('Análisis de Riesgos'!G173='Tablas AR'!$B$11,2,IF('Análisis de Riesgos'!G173='Tablas AR'!$B$12,3,"")))</f>
        <v>3</v>
      </c>
      <c r="I173" s="76">
        <f t="shared" si="1"/>
        <v>9</v>
      </c>
    </row>
    <row r="174" ht="14.25" customHeight="1">
      <c r="B174" s="60" t="s">
        <v>113</v>
      </c>
      <c r="C174" s="84"/>
      <c r="D174" s="80" t="s">
        <v>75</v>
      </c>
      <c r="E174" s="77" t="s">
        <v>41</v>
      </c>
      <c r="F174" s="76">
        <f>IF(E174='Tablas AR'!$B$4,1,IF('Análisis de Riesgos'!E174='Tablas AR'!$B$5,2,IF('Análisis de Riesgos'!E174='Tablas AR'!$B$6,3,"")))</f>
        <v>3</v>
      </c>
      <c r="G174" s="77" t="s">
        <v>41</v>
      </c>
      <c r="H174" s="76">
        <f>IF(G174='Tablas AR'!$B$10,1,IF('Análisis de Riesgos'!G174='Tablas AR'!$B$11,2,IF('Análisis de Riesgos'!G174='Tablas AR'!$B$12,3,"")))</f>
        <v>3</v>
      </c>
      <c r="I174" s="76">
        <f t="shared" si="1"/>
        <v>9</v>
      </c>
    </row>
    <row r="175" ht="14.25" customHeight="1">
      <c r="B175" s="60" t="s">
        <v>113</v>
      </c>
      <c r="C175" s="84"/>
      <c r="D175" s="80" t="s">
        <v>78</v>
      </c>
      <c r="E175" s="77" t="s">
        <v>41</v>
      </c>
      <c r="F175" s="76">
        <f>IF(E175='Tablas AR'!$B$4,1,IF('Análisis de Riesgos'!E175='Tablas AR'!$B$5,2,IF('Análisis de Riesgos'!E175='Tablas AR'!$B$6,3,"")))</f>
        <v>3</v>
      </c>
      <c r="G175" s="77" t="s">
        <v>41</v>
      </c>
      <c r="H175" s="76">
        <f>IF(G175='Tablas AR'!$B$10,1,IF('Análisis de Riesgos'!G175='Tablas AR'!$B$11,2,IF('Análisis de Riesgos'!G175='Tablas AR'!$B$12,3,"")))</f>
        <v>3</v>
      </c>
      <c r="I175" s="76">
        <f t="shared" si="1"/>
        <v>9</v>
      </c>
    </row>
    <row r="176" ht="14.25" customHeight="1">
      <c r="B176" s="60" t="s">
        <v>113</v>
      </c>
      <c r="C176" s="84"/>
      <c r="D176" s="80" t="s">
        <v>28</v>
      </c>
      <c r="E176" s="77" t="s">
        <v>41</v>
      </c>
      <c r="F176" s="76">
        <f>IF(E176='Tablas AR'!$B$4,1,IF('Análisis de Riesgos'!E176='Tablas AR'!$B$5,2,IF('Análisis de Riesgos'!E176='Tablas AR'!$B$6,3,"")))</f>
        <v>3</v>
      </c>
      <c r="G176" s="77" t="s">
        <v>41</v>
      </c>
      <c r="H176" s="76">
        <f>IF(G176='Tablas AR'!$B$10,1,IF('Análisis de Riesgos'!G176='Tablas AR'!$B$11,2,IF('Análisis de Riesgos'!G176='Tablas AR'!$B$12,3,"")))</f>
        <v>3</v>
      </c>
      <c r="I176" s="76">
        <f t="shared" si="1"/>
        <v>9</v>
      </c>
    </row>
    <row r="177" ht="14.25" customHeight="1">
      <c r="B177" s="60" t="s">
        <v>113</v>
      </c>
      <c r="C177" s="84"/>
      <c r="D177" s="80" t="s">
        <v>79</v>
      </c>
      <c r="E177" s="77" t="s">
        <v>37</v>
      </c>
      <c r="F177" s="76">
        <f>IF(E177='Tablas AR'!$B$4,1,IF('Análisis de Riesgos'!E177='Tablas AR'!$B$5,2,IF('Análisis de Riesgos'!E177='Tablas AR'!$B$6,3,"")))</f>
        <v>1</v>
      </c>
      <c r="G177" s="77" t="s">
        <v>41</v>
      </c>
      <c r="H177" s="76">
        <f>IF(G177='Tablas AR'!$B$10,1,IF('Análisis de Riesgos'!G177='Tablas AR'!$B$11,2,IF('Análisis de Riesgos'!G177='Tablas AR'!$B$12,3,"")))</f>
        <v>3</v>
      </c>
      <c r="I177" s="76">
        <f t="shared" si="1"/>
        <v>3</v>
      </c>
    </row>
    <row r="178" ht="14.25" customHeight="1">
      <c r="B178" s="60" t="s">
        <v>113</v>
      </c>
      <c r="C178" s="84"/>
      <c r="D178" s="80" t="s">
        <v>70</v>
      </c>
      <c r="E178" s="77" t="s">
        <v>37</v>
      </c>
      <c r="F178" s="76">
        <f>IF(E178='Tablas AR'!$B$4,1,IF('Análisis de Riesgos'!E178='Tablas AR'!$B$5,2,IF('Análisis de Riesgos'!E178='Tablas AR'!$B$6,3,"")))</f>
        <v>1</v>
      </c>
      <c r="G178" s="77" t="s">
        <v>37</v>
      </c>
      <c r="H178" s="76">
        <f>IF(G178='Tablas AR'!$B$10,1,IF('Análisis de Riesgos'!G178='Tablas AR'!$B$11,2,IF('Análisis de Riesgos'!G178='Tablas AR'!$B$12,3,"")))</f>
        <v>1</v>
      </c>
      <c r="I178" s="76">
        <f t="shared" si="1"/>
        <v>1</v>
      </c>
    </row>
    <row r="179" ht="14.25" customHeight="1">
      <c r="B179" s="60" t="s">
        <v>113</v>
      </c>
      <c r="C179" s="84"/>
      <c r="D179" s="80" t="s">
        <v>80</v>
      </c>
      <c r="E179" s="77" t="s">
        <v>41</v>
      </c>
      <c r="F179" s="76">
        <f>IF(E179='Tablas AR'!$B$4,1,IF('Análisis de Riesgos'!E179='Tablas AR'!$B$5,2,IF('Análisis de Riesgos'!E179='Tablas AR'!$B$6,3,"")))</f>
        <v>3</v>
      </c>
      <c r="G179" s="77" t="s">
        <v>41</v>
      </c>
      <c r="H179" s="76">
        <f>IF(G179='Tablas AR'!$B$10,1,IF('Análisis de Riesgos'!G179='Tablas AR'!$B$11,2,IF('Análisis de Riesgos'!G179='Tablas AR'!$B$12,3,"")))</f>
        <v>3</v>
      </c>
      <c r="I179" s="76">
        <f t="shared" si="1"/>
        <v>9</v>
      </c>
    </row>
    <row r="180" ht="14.25" customHeight="1">
      <c r="B180" s="60" t="s">
        <v>113</v>
      </c>
      <c r="C180" s="84"/>
      <c r="D180" s="80" t="s">
        <v>81</v>
      </c>
      <c r="E180" s="77" t="s">
        <v>41</v>
      </c>
      <c r="F180" s="76">
        <f>IF(E180='Tablas AR'!$B$4,1,IF('Análisis de Riesgos'!E180='Tablas AR'!$B$5,2,IF('Análisis de Riesgos'!E180='Tablas AR'!$B$6,3,"")))</f>
        <v>3</v>
      </c>
      <c r="G180" s="77" t="s">
        <v>41</v>
      </c>
      <c r="H180" s="76">
        <f>IF(G180='Tablas AR'!$B$10,1,IF('Análisis de Riesgos'!G180='Tablas AR'!$B$11,2,IF('Análisis de Riesgos'!G180='Tablas AR'!$B$12,3,"")))</f>
        <v>3</v>
      </c>
      <c r="I180" s="76">
        <f t="shared" si="1"/>
        <v>9</v>
      </c>
    </row>
    <row r="181" ht="14.25" customHeight="1">
      <c r="B181" s="60" t="s">
        <v>113</v>
      </c>
      <c r="C181" s="84"/>
      <c r="D181" s="81" t="s">
        <v>58</v>
      </c>
      <c r="E181" s="77" t="s">
        <v>41</v>
      </c>
      <c r="F181" s="76">
        <f>IF(E181='Tablas AR'!$B$4,1,IF('Análisis de Riesgos'!E181='Tablas AR'!$B$5,2,IF('Análisis de Riesgos'!E181='Tablas AR'!$B$6,3,"")))</f>
        <v>3</v>
      </c>
      <c r="G181" s="77" t="s">
        <v>37</v>
      </c>
      <c r="H181" s="76">
        <f>IF(G181='Tablas AR'!$B$10,1,IF('Análisis de Riesgos'!G181='Tablas AR'!$B$11,2,IF('Análisis de Riesgos'!G181='Tablas AR'!$B$12,3,"")))</f>
        <v>1</v>
      </c>
      <c r="I181" s="76">
        <f t="shared" si="1"/>
        <v>3</v>
      </c>
    </row>
    <row r="182" ht="14.25" customHeight="1">
      <c r="B182" s="60" t="s">
        <v>113</v>
      </c>
      <c r="C182" s="84"/>
      <c r="D182" s="81" t="s">
        <v>61</v>
      </c>
      <c r="E182" s="77" t="s">
        <v>39</v>
      </c>
      <c r="F182" s="76">
        <f>IF(E182='Tablas AR'!$B$4,1,IF('Análisis de Riesgos'!E182='Tablas AR'!$B$5,2,IF('Análisis de Riesgos'!E182='Tablas AR'!$B$6,3,"")))</f>
        <v>2</v>
      </c>
      <c r="G182" s="77" t="s">
        <v>39</v>
      </c>
      <c r="H182" s="76">
        <f>IF(G182='Tablas AR'!$B$10,1,IF('Análisis de Riesgos'!G182='Tablas AR'!$B$11,2,IF('Análisis de Riesgos'!G182='Tablas AR'!$B$12,3,"")))</f>
        <v>2</v>
      </c>
      <c r="I182" s="76">
        <f t="shared" si="1"/>
        <v>4</v>
      </c>
    </row>
    <row r="183" ht="14.25" customHeight="1">
      <c r="B183" s="60" t="s">
        <v>113</v>
      </c>
      <c r="C183" s="84"/>
      <c r="D183" s="81" t="s">
        <v>64</v>
      </c>
      <c r="E183" s="77" t="s">
        <v>37</v>
      </c>
      <c r="F183" s="76">
        <f>IF(E183='Tablas AR'!$B$4,1,IF('Análisis de Riesgos'!E183='Tablas AR'!$B$5,2,IF('Análisis de Riesgos'!E183='Tablas AR'!$B$6,3,"")))</f>
        <v>1</v>
      </c>
      <c r="G183" s="77" t="s">
        <v>41</v>
      </c>
      <c r="H183" s="76">
        <f>IF(G183='Tablas AR'!$B$10,1,IF('Análisis de Riesgos'!G183='Tablas AR'!$B$11,2,IF('Análisis de Riesgos'!G183='Tablas AR'!$B$12,3,"")))</f>
        <v>3</v>
      </c>
      <c r="I183" s="76">
        <f t="shared" si="1"/>
        <v>3</v>
      </c>
    </row>
    <row r="184" ht="14.25" customHeight="1">
      <c r="B184" s="60" t="s">
        <v>113</v>
      </c>
      <c r="C184" s="84"/>
      <c r="D184" s="82" t="s">
        <v>29</v>
      </c>
      <c r="E184" s="77" t="s">
        <v>41</v>
      </c>
      <c r="F184" s="76">
        <f>IF(E184='Tablas AR'!$B$4,1,IF('Análisis de Riesgos'!E184='Tablas AR'!$B$5,2,IF('Análisis de Riesgos'!E184='Tablas AR'!$B$6,3,"")))</f>
        <v>3</v>
      </c>
      <c r="G184" s="77" t="s">
        <v>41</v>
      </c>
      <c r="H184" s="76">
        <f>IF(G184='Tablas AR'!$B$10,1,IF('Análisis de Riesgos'!G184='Tablas AR'!$B$11,2,IF('Análisis de Riesgos'!G184='Tablas AR'!$B$12,3,"")))</f>
        <v>3</v>
      </c>
      <c r="I184" s="76">
        <f t="shared" si="1"/>
        <v>9</v>
      </c>
    </row>
    <row r="185" ht="14.25" customHeight="1">
      <c r="B185" s="60" t="s">
        <v>113</v>
      </c>
      <c r="C185" s="84"/>
      <c r="D185" s="82" t="s">
        <v>68</v>
      </c>
      <c r="E185" s="77" t="s">
        <v>37</v>
      </c>
      <c r="F185" s="76">
        <f>IF(E185='Tablas AR'!$B$4,1,IF('Análisis de Riesgos'!E185='Tablas AR'!$B$5,2,IF('Análisis de Riesgos'!E185='Tablas AR'!$B$6,3,"")))</f>
        <v>1</v>
      </c>
      <c r="G185" s="77" t="s">
        <v>41</v>
      </c>
      <c r="H185" s="76">
        <f>IF(G185='Tablas AR'!$B$10,1,IF('Análisis de Riesgos'!G185='Tablas AR'!$B$11,2,IF('Análisis de Riesgos'!G185='Tablas AR'!$B$12,3,"")))</f>
        <v>3</v>
      </c>
      <c r="I185" s="76">
        <f t="shared" si="1"/>
        <v>3</v>
      </c>
    </row>
    <row r="186" ht="14.25" customHeight="1">
      <c r="B186" s="60" t="s">
        <v>113</v>
      </c>
      <c r="C186" s="84"/>
      <c r="D186" s="82" t="s">
        <v>70</v>
      </c>
      <c r="E186" s="77" t="s">
        <v>37</v>
      </c>
      <c r="F186" s="76">
        <f>IF(E186='Tablas AR'!$B$4,1,IF('Análisis de Riesgos'!E186='Tablas AR'!$B$5,2,IF('Análisis de Riesgos'!E186='Tablas AR'!$B$6,3,"")))</f>
        <v>1</v>
      </c>
      <c r="G186" s="77" t="s">
        <v>37</v>
      </c>
      <c r="H186" s="76">
        <f>IF(G186='Tablas AR'!$B$10,1,IF('Análisis de Riesgos'!G186='Tablas AR'!$B$11,2,IF('Análisis de Riesgos'!G186='Tablas AR'!$B$12,3,"")))</f>
        <v>1</v>
      </c>
      <c r="I186" s="76">
        <f t="shared" si="1"/>
        <v>1</v>
      </c>
    </row>
    <row r="187" ht="14.25" customHeight="1">
      <c r="B187" s="60" t="s">
        <v>113</v>
      </c>
      <c r="C187" s="84"/>
      <c r="D187" s="82" t="s">
        <v>73</v>
      </c>
      <c r="E187" s="77" t="s">
        <v>37</v>
      </c>
      <c r="F187" s="76">
        <f>IF(E187='Tablas AR'!$B$4,1,IF('Análisis de Riesgos'!E187='Tablas AR'!$B$5,2,IF('Análisis de Riesgos'!E187='Tablas AR'!$B$6,3,"")))</f>
        <v>1</v>
      </c>
      <c r="G187" s="77" t="s">
        <v>37</v>
      </c>
      <c r="H187" s="76">
        <f>IF(G187='Tablas AR'!$B$10,1,IF('Análisis de Riesgos'!G187='Tablas AR'!$B$11,2,IF('Análisis de Riesgos'!G187='Tablas AR'!$B$12,3,"")))</f>
        <v>1</v>
      </c>
      <c r="I187" s="76">
        <f t="shared" si="1"/>
        <v>1</v>
      </c>
    </row>
    <row r="188" ht="14.25" customHeight="1">
      <c r="B188" s="60" t="s">
        <v>113</v>
      </c>
      <c r="C188" s="84"/>
      <c r="D188" s="82" t="s">
        <v>76</v>
      </c>
      <c r="E188" s="77" t="s">
        <v>37</v>
      </c>
      <c r="F188" s="76">
        <f>IF(E188='Tablas AR'!$B$4,1,IF('Análisis de Riesgos'!E188='Tablas AR'!$B$5,2,IF('Análisis de Riesgos'!E188='Tablas AR'!$B$6,3,"")))</f>
        <v>1</v>
      </c>
      <c r="G188" s="77" t="s">
        <v>37</v>
      </c>
      <c r="H188" s="76">
        <f>IF(G188='Tablas AR'!$B$10,1,IF('Análisis de Riesgos'!G188='Tablas AR'!$B$11,2,IF('Análisis de Riesgos'!G188='Tablas AR'!$B$12,3,"")))</f>
        <v>1</v>
      </c>
      <c r="I188" s="76">
        <f t="shared" si="1"/>
        <v>1</v>
      </c>
    </row>
    <row r="189" ht="14.25" customHeight="1">
      <c r="B189" s="84" t="str">
        <f t="array" ref="B189">IFERROR(INDEX(Activos!$B$3:$C$16, MATCH(C189,Activos!$B$3:$B$16),2),"")</f>
        <v/>
      </c>
      <c r="C189" s="84"/>
      <c r="D189" s="84"/>
      <c r="E189" s="76"/>
      <c r="F189" s="76" t="str">
        <f>IF(E189='Tablas AR'!$B$4,1,IF('Análisis de Riesgos'!E189='Tablas AR'!$B$5,2,IF('Análisis de Riesgos'!E189='Tablas AR'!$B$6,3,"")))</f>
        <v/>
      </c>
      <c r="G189" s="76"/>
      <c r="H189" s="76" t="str">
        <f>IF(G189='Tablas AR'!$B$10,1,IF('Análisis de Riesgos'!G189='Tablas AR'!$B$11,2,IF('Análisis de Riesgos'!G189='Tablas AR'!$B$12,3,"")))</f>
        <v/>
      </c>
      <c r="I189" s="76">
        <f t="shared" si="1"/>
        <v>0</v>
      </c>
    </row>
    <row r="190" ht="14.25" customHeight="1">
      <c r="B190" s="84" t="str">
        <f t="array" ref="B190">IFERROR(INDEX(Activos!$B$3:$C$16, MATCH(C190,Activos!$B$3:$B$16),2),"")</f>
        <v/>
      </c>
      <c r="C190" s="84"/>
      <c r="D190" s="84"/>
      <c r="E190" s="76"/>
      <c r="F190" s="76" t="str">
        <f>IF(E190='Tablas AR'!$B$4,1,IF('Análisis de Riesgos'!E190='Tablas AR'!$B$5,2,IF('Análisis de Riesgos'!E190='Tablas AR'!$B$6,3,"")))</f>
        <v/>
      </c>
      <c r="G190" s="76"/>
      <c r="H190" s="76" t="str">
        <f>IF(G190='Tablas AR'!$B$10,1,IF('Análisis de Riesgos'!G190='Tablas AR'!$B$11,2,IF('Análisis de Riesgos'!G190='Tablas AR'!$B$12,3,"")))</f>
        <v/>
      </c>
      <c r="I190" s="76">
        <f t="shared" si="1"/>
        <v>0</v>
      </c>
    </row>
    <row r="191" ht="14.25" customHeight="1">
      <c r="B191" s="84" t="str">
        <f t="array" ref="B191">IFERROR(INDEX(Activos!$B$3:$C$16, MATCH(C191,Activos!$B$3:$B$16),2),"")</f>
        <v/>
      </c>
      <c r="C191" s="84"/>
      <c r="D191" s="84"/>
      <c r="E191" s="76"/>
      <c r="F191" s="76" t="str">
        <f>IF(E191='Tablas AR'!$B$4,1,IF('Análisis de Riesgos'!E191='Tablas AR'!$B$5,2,IF('Análisis de Riesgos'!E191='Tablas AR'!$B$6,3,"")))</f>
        <v/>
      </c>
      <c r="G191" s="76"/>
      <c r="H191" s="76" t="str">
        <f>IF(G191='Tablas AR'!$B$10,1,IF('Análisis de Riesgos'!G191='Tablas AR'!$B$11,2,IF('Análisis de Riesgos'!G191='Tablas AR'!$B$12,3,"")))</f>
        <v/>
      </c>
      <c r="I191" s="76">
        <f t="shared" si="1"/>
        <v>0</v>
      </c>
    </row>
    <row r="192" ht="14.25" customHeight="1">
      <c r="B192" s="84" t="str">
        <f t="array" ref="B192">IFERROR(INDEX(Activos!$B$3:$C$16, MATCH(C192,Activos!$B$3:$B$16),2),"")</f>
        <v/>
      </c>
      <c r="C192" s="84"/>
      <c r="D192" s="84"/>
      <c r="E192" s="76"/>
      <c r="F192" s="76" t="str">
        <f>IF(E192='Tablas AR'!$B$4,1,IF('Análisis de Riesgos'!E192='Tablas AR'!$B$5,2,IF('Análisis de Riesgos'!E192='Tablas AR'!$B$6,3,"")))</f>
        <v/>
      </c>
      <c r="G192" s="76"/>
      <c r="H192" s="76" t="str">
        <f>IF(G192='Tablas AR'!$B$10,1,IF('Análisis de Riesgos'!G192='Tablas AR'!$B$11,2,IF('Análisis de Riesgos'!G192='Tablas AR'!$B$12,3,"")))</f>
        <v/>
      </c>
      <c r="I192" s="76">
        <f t="shared" si="1"/>
        <v>0</v>
      </c>
    </row>
    <row r="193" ht="14.25" customHeight="1">
      <c r="B193" s="84" t="str">
        <f t="array" ref="B193">IFERROR(INDEX(Activos!$B$3:$C$16, MATCH(C193,Activos!$B$3:$B$16),2),"")</f>
        <v/>
      </c>
      <c r="C193" s="84"/>
      <c r="D193" s="84"/>
      <c r="E193" s="76"/>
      <c r="F193" s="76" t="str">
        <f>IF(E193='Tablas AR'!$B$4,1,IF('Análisis de Riesgos'!E193='Tablas AR'!$B$5,2,IF('Análisis de Riesgos'!E193='Tablas AR'!$B$6,3,"")))</f>
        <v/>
      </c>
      <c r="G193" s="76"/>
      <c r="H193" s="76" t="str">
        <f>IF(G193='Tablas AR'!$B$10,1,IF('Análisis de Riesgos'!G193='Tablas AR'!$B$11,2,IF('Análisis de Riesgos'!G193='Tablas AR'!$B$12,3,"")))</f>
        <v/>
      </c>
      <c r="I193" s="76">
        <f t="shared" si="1"/>
        <v>0</v>
      </c>
    </row>
    <row r="194" ht="14.25" customHeight="1">
      <c r="B194" s="84" t="str">
        <f t="array" ref="B194">IFERROR(INDEX(Activos!$B$3:$C$16, MATCH(C194,Activos!$B$3:$B$16),2),"")</f>
        <v/>
      </c>
      <c r="C194" s="84"/>
      <c r="D194" s="84"/>
      <c r="E194" s="76"/>
      <c r="F194" s="76" t="str">
        <f>IF(E194='Tablas AR'!$B$4,1,IF('Análisis de Riesgos'!E194='Tablas AR'!$B$5,2,IF('Análisis de Riesgos'!E194='Tablas AR'!$B$6,3,"")))</f>
        <v/>
      </c>
      <c r="G194" s="76"/>
      <c r="H194" s="76" t="str">
        <f>IF(G194='Tablas AR'!$B$10,1,IF('Análisis de Riesgos'!G194='Tablas AR'!$B$11,2,IF('Análisis de Riesgos'!G194='Tablas AR'!$B$12,3,"")))</f>
        <v/>
      </c>
      <c r="I194" s="76">
        <f t="shared" si="1"/>
        <v>0</v>
      </c>
    </row>
    <row r="195" ht="14.25" customHeight="1">
      <c r="B195" s="84" t="str">
        <f t="array" ref="B195">IFERROR(INDEX(Activos!$B$3:$C$16, MATCH(C195,Activos!$B$3:$B$16),2),"")</f>
        <v/>
      </c>
      <c r="C195" s="84"/>
      <c r="D195" s="84"/>
      <c r="E195" s="76"/>
      <c r="F195" s="76" t="str">
        <f>IF(E195='Tablas AR'!$B$4,1,IF('Análisis de Riesgos'!E195='Tablas AR'!$B$5,2,IF('Análisis de Riesgos'!E195='Tablas AR'!$B$6,3,"")))</f>
        <v/>
      </c>
      <c r="G195" s="76"/>
      <c r="H195" s="76" t="str">
        <f>IF(G195='Tablas AR'!$B$10,1,IF('Análisis de Riesgos'!G195='Tablas AR'!$B$11,2,IF('Análisis de Riesgos'!G195='Tablas AR'!$B$12,3,"")))</f>
        <v/>
      </c>
      <c r="I195" s="76">
        <f t="shared" si="1"/>
        <v>0</v>
      </c>
    </row>
    <row r="196" ht="14.25" customHeight="1">
      <c r="B196" s="84" t="str">
        <f t="array" ref="B196">IFERROR(INDEX(Activos!$B$3:$C$16, MATCH(C196,Activos!$B$3:$B$16),2),"")</f>
        <v/>
      </c>
      <c r="C196" s="84"/>
      <c r="D196" s="84"/>
      <c r="E196" s="76"/>
      <c r="F196" s="76" t="str">
        <f>IF(E196='Tablas AR'!$B$4,1,IF('Análisis de Riesgos'!E196='Tablas AR'!$B$5,2,IF('Análisis de Riesgos'!E196='Tablas AR'!$B$6,3,"")))</f>
        <v/>
      </c>
      <c r="G196" s="76"/>
      <c r="H196" s="76" t="str">
        <f>IF(G196='Tablas AR'!$B$10,1,IF('Análisis de Riesgos'!G196='Tablas AR'!$B$11,2,IF('Análisis de Riesgos'!G196='Tablas AR'!$B$12,3,"")))</f>
        <v/>
      </c>
      <c r="I196" s="76">
        <f t="shared" si="1"/>
        <v>0</v>
      </c>
    </row>
    <row r="197" ht="14.25" customHeight="1">
      <c r="B197" s="84" t="str">
        <f t="array" ref="B197">IFERROR(INDEX(Activos!$B$3:$C$16, MATCH(C197,Activos!$B$3:$B$16),2),"")</f>
        <v/>
      </c>
      <c r="C197" s="84"/>
      <c r="D197" s="84"/>
      <c r="E197" s="76"/>
      <c r="F197" s="76" t="str">
        <f>IF(E197='Tablas AR'!$B$4,1,IF('Análisis de Riesgos'!E197='Tablas AR'!$B$5,2,IF('Análisis de Riesgos'!E197='Tablas AR'!$B$6,3,"")))</f>
        <v/>
      </c>
      <c r="G197" s="76"/>
      <c r="H197" s="76" t="str">
        <f>IF(G197='Tablas AR'!$B$10,1,IF('Análisis de Riesgos'!G197='Tablas AR'!$B$11,2,IF('Análisis de Riesgos'!G197='Tablas AR'!$B$12,3,"")))</f>
        <v/>
      </c>
      <c r="I197" s="76">
        <f t="shared" si="1"/>
        <v>0</v>
      </c>
    </row>
    <row r="198" ht="14.25" customHeight="1">
      <c r="B198" s="84" t="str">
        <f t="array" ref="B198">IFERROR(INDEX(Activos!$B$3:$C$16, MATCH(C198,Activos!$B$3:$B$16),2),"")</f>
        <v/>
      </c>
      <c r="C198" s="84"/>
      <c r="D198" s="84"/>
      <c r="E198" s="76"/>
      <c r="F198" s="76" t="str">
        <f>IF(E198='Tablas AR'!$B$4,1,IF('Análisis de Riesgos'!E198='Tablas AR'!$B$5,2,IF('Análisis de Riesgos'!E198='Tablas AR'!$B$6,3,"")))</f>
        <v/>
      </c>
      <c r="G198" s="76"/>
      <c r="H198" s="76" t="str">
        <f>IF(G198='Tablas AR'!$B$10,1,IF('Análisis de Riesgos'!G198='Tablas AR'!$B$11,2,IF('Análisis de Riesgos'!G198='Tablas AR'!$B$12,3,"")))</f>
        <v/>
      </c>
      <c r="I198" s="76">
        <f t="shared" si="1"/>
        <v>0</v>
      </c>
    </row>
    <row r="199" ht="14.25" customHeight="1">
      <c r="B199" s="84" t="str">
        <f t="array" ref="B199">IFERROR(INDEX(Activos!$B$3:$C$16, MATCH(C199,Activos!$B$3:$B$16),2),"")</f>
        <v/>
      </c>
      <c r="C199" s="84"/>
      <c r="D199" s="84"/>
      <c r="E199" s="76"/>
      <c r="F199" s="76" t="str">
        <f>IF(E199='Tablas AR'!$B$4,1,IF('Análisis de Riesgos'!E199='Tablas AR'!$B$5,2,IF('Análisis de Riesgos'!E199='Tablas AR'!$B$6,3,"")))</f>
        <v/>
      </c>
      <c r="G199" s="76"/>
      <c r="H199" s="76" t="str">
        <f>IF(G199='Tablas AR'!$B$10,1,IF('Análisis de Riesgos'!G199='Tablas AR'!$B$11,2,IF('Análisis de Riesgos'!G199='Tablas AR'!$B$12,3,"")))</f>
        <v/>
      </c>
      <c r="I199" s="76">
        <f t="shared" si="1"/>
        <v>0</v>
      </c>
    </row>
    <row r="200" ht="14.25" customHeight="1">
      <c r="B200" s="84" t="str">
        <f t="array" ref="B200">IFERROR(INDEX(Activos!$B$3:$C$16, MATCH(C200,Activos!$B$3:$B$16),2),"")</f>
        <v/>
      </c>
      <c r="C200" s="84"/>
      <c r="D200" s="84"/>
      <c r="E200" s="76"/>
      <c r="F200" s="76" t="str">
        <f>IF(E200='Tablas AR'!$B$4,1,IF('Análisis de Riesgos'!E200='Tablas AR'!$B$5,2,IF('Análisis de Riesgos'!E200='Tablas AR'!$B$6,3,"")))</f>
        <v/>
      </c>
      <c r="G200" s="76"/>
      <c r="H200" s="76" t="str">
        <f>IF(G200='Tablas AR'!$B$10,1,IF('Análisis de Riesgos'!G200='Tablas AR'!$B$11,2,IF('Análisis de Riesgos'!G200='Tablas AR'!$B$12,3,"")))</f>
        <v/>
      </c>
      <c r="I200" s="76">
        <f t="shared" si="1"/>
        <v>0</v>
      </c>
    </row>
    <row r="201" ht="14.25" customHeight="1">
      <c r="B201" s="84" t="str">
        <f t="array" ref="B201">IFERROR(INDEX(Activos!$B$3:$C$16, MATCH(C201,Activos!$B$3:$B$16),2),"")</f>
        <v/>
      </c>
      <c r="C201" s="84"/>
      <c r="D201" s="84"/>
      <c r="E201" s="76"/>
      <c r="F201" s="76" t="str">
        <f>IF(E201='Tablas AR'!$B$4,1,IF('Análisis de Riesgos'!E201='Tablas AR'!$B$5,2,IF('Análisis de Riesgos'!E201='Tablas AR'!$B$6,3,"")))</f>
        <v/>
      </c>
      <c r="G201" s="76"/>
      <c r="H201" s="76" t="str">
        <f>IF(G201='Tablas AR'!$B$10,1,IF('Análisis de Riesgos'!G201='Tablas AR'!$B$11,2,IF('Análisis de Riesgos'!G201='Tablas AR'!$B$12,3,"")))</f>
        <v/>
      </c>
      <c r="I201" s="76">
        <f t="shared" si="1"/>
        <v>0</v>
      </c>
    </row>
    <row r="202" ht="14.25" customHeight="1">
      <c r="B202" s="84" t="str">
        <f t="array" ref="B202">IFERROR(INDEX(Activos!$B$3:$C$16, MATCH(C202,Activos!$B$3:$B$16),2),"")</f>
        <v/>
      </c>
      <c r="C202" s="84"/>
      <c r="D202" s="84"/>
      <c r="E202" s="76"/>
      <c r="F202" s="76" t="str">
        <f>IF(E202='Tablas AR'!$B$4,1,IF('Análisis de Riesgos'!E202='Tablas AR'!$B$5,2,IF('Análisis de Riesgos'!E202='Tablas AR'!$B$6,3,"")))</f>
        <v/>
      </c>
      <c r="G202" s="76"/>
      <c r="H202" s="76" t="str">
        <f>IF(G202='Tablas AR'!$B$10,1,IF('Análisis de Riesgos'!G202='Tablas AR'!$B$11,2,IF('Análisis de Riesgos'!G202='Tablas AR'!$B$12,3,"")))</f>
        <v/>
      </c>
      <c r="I202" s="76">
        <f t="shared" si="1"/>
        <v>0</v>
      </c>
    </row>
    <row r="203" ht="14.25" customHeight="1">
      <c r="B203" s="84" t="str">
        <f t="array" ref="B203">IFERROR(INDEX(Activos!$B$3:$C$16, MATCH(C203,Activos!$B$3:$B$16),2),"")</f>
        <v/>
      </c>
      <c r="C203" s="84"/>
      <c r="D203" s="84"/>
      <c r="E203" s="76"/>
      <c r="F203" s="76" t="str">
        <f>IF(E203='Tablas AR'!$B$4,1,IF('Análisis de Riesgos'!E203='Tablas AR'!$B$5,2,IF('Análisis de Riesgos'!E203='Tablas AR'!$B$6,3,"")))</f>
        <v/>
      </c>
      <c r="G203" s="76"/>
      <c r="H203" s="76" t="str">
        <f>IF(G203='Tablas AR'!$B$10,1,IF('Análisis de Riesgos'!G203='Tablas AR'!$B$11,2,IF('Análisis de Riesgos'!G203='Tablas AR'!$B$12,3,"")))</f>
        <v/>
      </c>
      <c r="I203" s="76">
        <f t="shared" si="1"/>
        <v>0</v>
      </c>
    </row>
    <row r="204" ht="14.25" customHeight="1">
      <c r="B204" s="84" t="str">
        <f t="array" ref="B204">IFERROR(INDEX(Activos!$B$3:$C$16, MATCH(C204,Activos!$B$3:$B$16),2),"")</f>
        <v/>
      </c>
      <c r="C204" s="84"/>
      <c r="D204" s="84"/>
      <c r="E204" s="76"/>
      <c r="F204" s="76" t="str">
        <f>IF(E204='Tablas AR'!$B$4,1,IF('Análisis de Riesgos'!E204='Tablas AR'!$B$5,2,IF('Análisis de Riesgos'!E204='Tablas AR'!$B$6,3,"")))</f>
        <v/>
      </c>
      <c r="G204" s="76"/>
      <c r="H204" s="76" t="str">
        <f>IF(G204='Tablas AR'!$B$10,1,IF('Análisis de Riesgos'!G204='Tablas AR'!$B$11,2,IF('Análisis de Riesgos'!G204='Tablas AR'!$B$12,3,"")))</f>
        <v/>
      </c>
      <c r="I204" s="76">
        <f t="shared" si="1"/>
        <v>0</v>
      </c>
    </row>
    <row r="205" ht="14.25" customHeight="1">
      <c r="B205" s="84" t="str">
        <f t="array" ref="B205">IFERROR(INDEX(Activos!$B$3:$C$16, MATCH(C205,Activos!$B$3:$B$16),2),"")</f>
        <v/>
      </c>
      <c r="C205" s="84"/>
      <c r="D205" s="84"/>
      <c r="E205" s="76"/>
      <c r="F205" s="76" t="str">
        <f>IF(E205='Tablas AR'!$B$4,1,IF('Análisis de Riesgos'!E205='Tablas AR'!$B$5,2,IF('Análisis de Riesgos'!E205='Tablas AR'!$B$6,3,"")))</f>
        <v/>
      </c>
      <c r="G205" s="76"/>
      <c r="H205" s="76" t="str">
        <f>IF(G205='Tablas AR'!$B$10,1,IF('Análisis de Riesgos'!G205='Tablas AR'!$B$11,2,IF('Análisis de Riesgos'!G205='Tablas AR'!$B$12,3,"")))</f>
        <v/>
      </c>
      <c r="I205" s="76">
        <f t="shared" si="1"/>
        <v>0</v>
      </c>
    </row>
    <row r="206" ht="14.25" customHeight="1">
      <c r="B206" s="84" t="str">
        <f t="array" ref="B206">IFERROR(INDEX(Activos!$B$3:$C$16, MATCH(C206,Activos!$B$3:$B$16),2),"")</f>
        <v/>
      </c>
      <c r="C206" s="84"/>
      <c r="D206" s="84"/>
      <c r="E206" s="76"/>
      <c r="F206" s="76" t="str">
        <f>IF(E206='Tablas AR'!$B$4,1,IF('Análisis de Riesgos'!E206='Tablas AR'!$B$5,2,IF('Análisis de Riesgos'!E206='Tablas AR'!$B$6,3,"")))</f>
        <v/>
      </c>
      <c r="G206" s="76"/>
      <c r="H206" s="76" t="str">
        <f>IF(G206='Tablas AR'!$B$10,1,IF('Análisis de Riesgos'!G206='Tablas AR'!$B$11,2,IF('Análisis de Riesgos'!G206='Tablas AR'!$B$12,3,"")))</f>
        <v/>
      </c>
      <c r="I206" s="76">
        <f t="shared" si="1"/>
        <v>0</v>
      </c>
    </row>
    <row r="207" ht="14.25" customHeight="1">
      <c r="B207" s="84" t="str">
        <f t="array" ref="B207">IFERROR(INDEX(Activos!$B$3:$C$16, MATCH(C207,Activos!$B$3:$B$16),2),"")</f>
        <v/>
      </c>
      <c r="C207" s="84"/>
      <c r="D207" s="84"/>
      <c r="E207" s="76"/>
      <c r="F207" s="76" t="str">
        <f>IF(E207='Tablas AR'!$B$4,1,IF('Análisis de Riesgos'!E207='Tablas AR'!$B$5,2,IF('Análisis de Riesgos'!E207='Tablas AR'!$B$6,3,"")))</f>
        <v/>
      </c>
      <c r="G207" s="76"/>
      <c r="H207" s="76" t="str">
        <f>IF(G207='Tablas AR'!$B$10,1,IF('Análisis de Riesgos'!G207='Tablas AR'!$B$11,2,IF('Análisis de Riesgos'!G207='Tablas AR'!$B$12,3,"")))</f>
        <v/>
      </c>
      <c r="I207" s="76">
        <f t="shared" si="1"/>
        <v>0</v>
      </c>
    </row>
    <row r="208" ht="14.25" customHeight="1">
      <c r="B208" s="84" t="str">
        <f t="array" ref="B208">IFERROR(INDEX(Activos!$B$3:$C$16, MATCH(C208,Activos!$B$3:$B$16),2),"")</f>
        <v/>
      </c>
      <c r="C208" s="84"/>
      <c r="D208" s="84"/>
      <c r="E208" s="76"/>
      <c r="F208" s="76" t="str">
        <f>IF(E208='Tablas AR'!$B$4,1,IF('Análisis de Riesgos'!E208='Tablas AR'!$B$5,2,IF('Análisis de Riesgos'!E208='Tablas AR'!$B$6,3,"")))</f>
        <v/>
      </c>
      <c r="G208" s="76"/>
      <c r="H208" s="76" t="str">
        <f>IF(G208='Tablas AR'!$B$10,1,IF('Análisis de Riesgos'!G208='Tablas AR'!$B$11,2,IF('Análisis de Riesgos'!G208='Tablas AR'!$B$12,3,"")))</f>
        <v/>
      </c>
      <c r="I208" s="76">
        <f t="shared" si="1"/>
        <v>0</v>
      </c>
    </row>
    <row r="209" ht="14.25" customHeight="1">
      <c r="B209" s="84" t="str">
        <f t="array" ref="B209">IFERROR(INDEX(Activos!$B$3:$C$16, MATCH(C209,Activos!$B$3:$B$16),2),"")</f>
        <v/>
      </c>
      <c r="C209" s="84"/>
      <c r="D209" s="84"/>
      <c r="E209" s="76"/>
      <c r="F209" s="76" t="str">
        <f>IF(E209='Tablas AR'!$B$4,1,IF('Análisis de Riesgos'!E209='Tablas AR'!$B$5,2,IF('Análisis de Riesgos'!E209='Tablas AR'!$B$6,3,"")))</f>
        <v/>
      </c>
      <c r="G209" s="76"/>
      <c r="H209" s="76" t="str">
        <f>IF(G209='Tablas AR'!$B$10,1,IF('Análisis de Riesgos'!G209='Tablas AR'!$B$11,2,IF('Análisis de Riesgos'!G209='Tablas AR'!$B$12,3,"")))</f>
        <v/>
      </c>
      <c r="I209" s="76">
        <f t="shared" si="1"/>
        <v>0</v>
      </c>
    </row>
    <row r="210" ht="14.25" customHeight="1">
      <c r="B210" s="84" t="str">
        <f t="array" ref="B210">IFERROR(INDEX(Activos!$B$3:$C$16, MATCH(C210,Activos!$B$3:$B$16),2),"")</f>
        <v/>
      </c>
      <c r="C210" s="84"/>
      <c r="D210" s="84"/>
      <c r="E210" s="76"/>
      <c r="F210" s="76" t="str">
        <f>IF(E210='Tablas AR'!$B$4,1,IF('Análisis de Riesgos'!E210='Tablas AR'!$B$5,2,IF('Análisis de Riesgos'!E210='Tablas AR'!$B$6,3,"")))</f>
        <v/>
      </c>
      <c r="G210" s="76"/>
      <c r="H210" s="76" t="str">
        <f>IF(G210='Tablas AR'!$B$10,1,IF('Análisis de Riesgos'!G210='Tablas AR'!$B$11,2,IF('Análisis de Riesgos'!G210='Tablas AR'!$B$12,3,"")))</f>
        <v/>
      </c>
      <c r="I210" s="76">
        <f t="shared" si="1"/>
        <v>0</v>
      </c>
    </row>
    <row r="211" ht="14.25" customHeight="1">
      <c r="B211" s="84" t="str">
        <f t="array" ref="B211">IFERROR(INDEX(Activos!$B$3:$C$16, MATCH(C211,Activos!$B$3:$B$16),2),"")</f>
        <v/>
      </c>
      <c r="C211" s="84"/>
      <c r="D211" s="84"/>
      <c r="E211" s="76"/>
      <c r="F211" s="76" t="str">
        <f>IF(E211='Tablas AR'!$B$4,1,IF('Análisis de Riesgos'!E211='Tablas AR'!$B$5,2,IF('Análisis de Riesgos'!E211='Tablas AR'!$B$6,3,"")))</f>
        <v/>
      </c>
      <c r="G211" s="76"/>
      <c r="H211" s="76" t="str">
        <f>IF(G211='Tablas AR'!$B$10,1,IF('Análisis de Riesgos'!G211='Tablas AR'!$B$11,2,IF('Análisis de Riesgos'!G211='Tablas AR'!$B$12,3,"")))</f>
        <v/>
      </c>
      <c r="I211" s="76">
        <f t="shared" si="1"/>
        <v>0</v>
      </c>
    </row>
    <row r="212" ht="14.25" customHeight="1">
      <c r="B212" s="84" t="str">
        <f t="array" ref="B212">IFERROR(INDEX(Activos!$B$3:$C$16, MATCH(C212,Activos!$B$3:$B$16),2),"")</f>
        <v/>
      </c>
      <c r="C212" s="84"/>
      <c r="D212" s="84"/>
      <c r="E212" s="76"/>
      <c r="F212" s="76" t="str">
        <f>IF(E212='Tablas AR'!$B$4,1,IF('Análisis de Riesgos'!E212='Tablas AR'!$B$5,2,IF('Análisis de Riesgos'!E212='Tablas AR'!$B$6,3,"")))</f>
        <v/>
      </c>
      <c r="G212" s="76"/>
      <c r="H212" s="76" t="str">
        <f>IF(G212='Tablas AR'!$B$10,1,IF('Análisis de Riesgos'!G212='Tablas AR'!$B$11,2,IF('Análisis de Riesgos'!G212='Tablas AR'!$B$12,3,"")))</f>
        <v/>
      </c>
      <c r="I212" s="76">
        <f t="shared" si="1"/>
        <v>0</v>
      </c>
    </row>
    <row r="213" ht="14.25" customHeight="1">
      <c r="B213" s="84" t="str">
        <f t="array" ref="B213">IFERROR(INDEX(Activos!$B$3:$C$16, MATCH(C213,Activos!$B$3:$B$16),2),"")</f>
        <v/>
      </c>
      <c r="C213" s="84"/>
      <c r="D213" s="84"/>
      <c r="E213" s="76"/>
      <c r="F213" s="76" t="str">
        <f>IF(E213='Tablas AR'!$B$4,1,IF('Análisis de Riesgos'!E213='Tablas AR'!$B$5,2,IF('Análisis de Riesgos'!E213='Tablas AR'!$B$6,3,"")))</f>
        <v/>
      </c>
      <c r="G213" s="76"/>
      <c r="H213" s="76" t="str">
        <f>IF(G213='Tablas AR'!$B$10,1,IF('Análisis de Riesgos'!G213='Tablas AR'!$B$11,2,IF('Análisis de Riesgos'!G213='Tablas AR'!$B$12,3,"")))</f>
        <v/>
      </c>
      <c r="I213" s="76">
        <f t="shared" si="1"/>
        <v>0</v>
      </c>
    </row>
    <row r="214" ht="14.25" customHeight="1">
      <c r="B214" s="84" t="str">
        <f t="array" ref="B214">IFERROR(INDEX(Activos!$B$3:$C$16, MATCH(C214,Activos!$B$3:$B$16),2),"")</f>
        <v/>
      </c>
      <c r="C214" s="84"/>
      <c r="D214" s="84"/>
      <c r="E214" s="76"/>
      <c r="F214" s="76" t="str">
        <f>IF(E214='Tablas AR'!$B$4,1,IF('Análisis de Riesgos'!E214='Tablas AR'!$B$5,2,IF('Análisis de Riesgos'!E214='Tablas AR'!$B$6,3,"")))</f>
        <v/>
      </c>
      <c r="G214" s="76"/>
      <c r="H214" s="76" t="str">
        <f>IF(G214='Tablas AR'!$B$10,1,IF('Análisis de Riesgos'!G214='Tablas AR'!$B$11,2,IF('Análisis de Riesgos'!G214='Tablas AR'!$B$12,3,"")))</f>
        <v/>
      </c>
      <c r="I214" s="76">
        <f t="shared" si="1"/>
        <v>0</v>
      </c>
    </row>
    <row r="215" ht="14.25" customHeight="1">
      <c r="B215" s="84" t="str">
        <f t="array" ref="B215">IFERROR(INDEX(Activos!$B$3:$C$16, MATCH(C215,Activos!$B$3:$B$16),2),"")</f>
        <v/>
      </c>
      <c r="C215" s="84"/>
      <c r="D215" s="84"/>
      <c r="E215" s="76"/>
      <c r="F215" s="76" t="str">
        <f>IF(E215='Tablas AR'!$B$4,1,IF('Análisis de Riesgos'!E215='Tablas AR'!$B$5,2,IF('Análisis de Riesgos'!E215='Tablas AR'!$B$6,3,"")))</f>
        <v/>
      </c>
      <c r="G215" s="76"/>
      <c r="H215" s="76" t="str">
        <f>IF(G215='Tablas AR'!$B$10,1,IF('Análisis de Riesgos'!G215='Tablas AR'!$B$11,2,IF('Análisis de Riesgos'!G215='Tablas AR'!$B$12,3,"")))</f>
        <v/>
      </c>
      <c r="I215" s="76">
        <f t="shared" si="1"/>
        <v>0</v>
      </c>
    </row>
    <row r="216" ht="14.25" customHeight="1">
      <c r="B216" s="84" t="str">
        <f t="array" ref="B216">IFERROR(INDEX(Activos!$B$3:$C$16, MATCH(C216,Activos!$B$3:$B$16),2),"")</f>
        <v/>
      </c>
      <c r="C216" s="84"/>
      <c r="D216" s="84"/>
      <c r="E216" s="76"/>
      <c r="F216" s="76" t="str">
        <f>IF(E216='Tablas AR'!$B$4,1,IF('Análisis de Riesgos'!E216='Tablas AR'!$B$5,2,IF('Análisis de Riesgos'!E216='Tablas AR'!$B$6,3,"")))</f>
        <v/>
      </c>
      <c r="G216" s="76"/>
      <c r="H216" s="76" t="str">
        <f>IF(G216='Tablas AR'!$B$10,1,IF('Análisis de Riesgos'!G216='Tablas AR'!$B$11,2,IF('Análisis de Riesgos'!G216='Tablas AR'!$B$12,3,"")))</f>
        <v/>
      </c>
      <c r="I216" s="76">
        <f t="shared" si="1"/>
        <v>0</v>
      </c>
    </row>
    <row r="217" ht="14.25" customHeight="1">
      <c r="B217" s="84" t="str">
        <f t="array" ref="B217">IFERROR(INDEX(Activos!$B$3:$C$16, MATCH(C217,Activos!$B$3:$B$16),2),"")</f>
        <v/>
      </c>
      <c r="C217" s="84"/>
      <c r="D217" s="84"/>
      <c r="E217" s="76"/>
      <c r="F217" s="76" t="str">
        <f>IF(E217='Tablas AR'!$B$4,1,IF('Análisis de Riesgos'!E217='Tablas AR'!$B$5,2,IF('Análisis de Riesgos'!E217='Tablas AR'!$B$6,3,"")))</f>
        <v/>
      </c>
      <c r="G217" s="76"/>
      <c r="H217" s="76" t="str">
        <f>IF(G217='Tablas AR'!$B$10,1,IF('Análisis de Riesgos'!G217='Tablas AR'!$B$11,2,IF('Análisis de Riesgos'!G217='Tablas AR'!$B$12,3,"")))</f>
        <v/>
      </c>
      <c r="I217" s="76">
        <f t="shared" si="1"/>
        <v>0</v>
      </c>
    </row>
    <row r="218" ht="14.25" customHeight="1">
      <c r="B218" s="84" t="str">
        <f t="array" ref="B218">IFERROR(INDEX(Activos!$B$3:$C$16, MATCH(C218,Activos!$B$3:$B$16),2),"")</f>
        <v/>
      </c>
      <c r="C218" s="84"/>
      <c r="D218" s="84"/>
      <c r="E218" s="76"/>
      <c r="F218" s="76" t="str">
        <f>IF(E218='Tablas AR'!$B$4,1,IF('Análisis de Riesgos'!E218='Tablas AR'!$B$5,2,IF('Análisis de Riesgos'!E218='Tablas AR'!$B$6,3,"")))</f>
        <v/>
      </c>
      <c r="G218" s="76"/>
      <c r="H218" s="76" t="str">
        <f>IF(G218='Tablas AR'!$B$10,1,IF('Análisis de Riesgos'!G218='Tablas AR'!$B$11,2,IF('Análisis de Riesgos'!G218='Tablas AR'!$B$12,3,"")))</f>
        <v/>
      </c>
      <c r="I218" s="76">
        <f t="shared" si="1"/>
        <v>0</v>
      </c>
    </row>
    <row r="219" ht="14.25" customHeight="1">
      <c r="B219" s="84" t="str">
        <f t="array" ref="B219">IFERROR(INDEX(Activos!$B$3:$C$16, MATCH(C219,Activos!$B$3:$B$16),2),"")</f>
        <v/>
      </c>
      <c r="C219" s="84"/>
      <c r="D219" s="84"/>
      <c r="E219" s="76"/>
      <c r="F219" s="76" t="str">
        <f>IF(E219='Tablas AR'!$B$4,1,IF('Análisis de Riesgos'!E219='Tablas AR'!$B$5,2,IF('Análisis de Riesgos'!E219='Tablas AR'!$B$6,3,"")))</f>
        <v/>
      </c>
      <c r="G219" s="76"/>
      <c r="H219" s="76" t="str">
        <f>IF(G219='Tablas AR'!$B$10,1,IF('Análisis de Riesgos'!G219='Tablas AR'!$B$11,2,IF('Análisis de Riesgos'!G219='Tablas AR'!$B$12,3,"")))</f>
        <v/>
      </c>
      <c r="I219" s="76">
        <f t="shared" si="1"/>
        <v>0</v>
      </c>
    </row>
    <row r="220" ht="14.25" customHeight="1">
      <c r="B220" s="84" t="str">
        <f t="array" ref="B220">IFERROR(INDEX(Activos!$B$3:$C$16, MATCH(C220,Activos!$B$3:$B$16),2),"")</f>
        <v/>
      </c>
      <c r="C220" s="84"/>
      <c r="D220" s="84"/>
      <c r="E220" s="76"/>
      <c r="F220" s="76" t="str">
        <f>IF(E220='Tablas AR'!$B$4,1,IF('Análisis de Riesgos'!E220='Tablas AR'!$B$5,2,IF('Análisis de Riesgos'!E220='Tablas AR'!$B$6,3,"")))</f>
        <v/>
      </c>
      <c r="G220" s="76"/>
      <c r="H220" s="76" t="str">
        <f>IF(G220='Tablas AR'!$B$10,1,IF('Análisis de Riesgos'!G220='Tablas AR'!$B$11,2,IF('Análisis de Riesgos'!G220='Tablas AR'!$B$12,3,"")))</f>
        <v/>
      </c>
      <c r="I220" s="76">
        <f t="shared" si="1"/>
        <v>0</v>
      </c>
    </row>
    <row r="221" ht="14.25" customHeight="1">
      <c r="B221" s="84" t="str">
        <f t="array" ref="B221">IFERROR(INDEX(Activos!$B$3:$C$16, MATCH(C221,Activos!$B$3:$B$16),2),"")</f>
        <v/>
      </c>
      <c r="C221" s="84"/>
      <c r="D221" s="84"/>
      <c r="E221" s="76"/>
      <c r="F221" s="76" t="str">
        <f>IF(E221='Tablas AR'!$B$4,1,IF('Análisis de Riesgos'!E221='Tablas AR'!$B$5,2,IF('Análisis de Riesgos'!E221='Tablas AR'!$B$6,3,"")))</f>
        <v/>
      </c>
      <c r="G221" s="76"/>
      <c r="H221" s="76" t="str">
        <f>IF(G221='Tablas AR'!$B$10,1,IF('Análisis de Riesgos'!G221='Tablas AR'!$B$11,2,IF('Análisis de Riesgos'!G221='Tablas AR'!$B$12,3,"")))</f>
        <v/>
      </c>
      <c r="I221" s="76">
        <f t="shared" si="1"/>
        <v>0</v>
      </c>
    </row>
    <row r="222" ht="14.25" customHeight="1">
      <c r="B222" s="84" t="str">
        <f t="array" ref="B222">IFERROR(INDEX(Activos!$B$3:$C$16, MATCH(C222,Activos!$B$3:$B$16),2),"")</f>
        <v/>
      </c>
      <c r="C222" s="84"/>
      <c r="D222" s="84"/>
      <c r="E222" s="76"/>
      <c r="F222" s="76" t="str">
        <f>IF(E222='Tablas AR'!$B$4,1,IF('Análisis de Riesgos'!E222='Tablas AR'!$B$5,2,IF('Análisis de Riesgos'!E222='Tablas AR'!$B$6,3,"")))</f>
        <v/>
      </c>
      <c r="G222" s="76"/>
      <c r="H222" s="76" t="str">
        <f>IF(G222='Tablas AR'!$B$10,1,IF('Análisis de Riesgos'!G222='Tablas AR'!$B$11,2,IF('Análisis de Riesgos'!G222='Tablas AR'!$B$12,3,"")))</f>
        <v/>
      </c>
      <c r="I222" s="76">
        <f t="shared" si="1"/>
        <v>0</v>
      </c>
    </row>
    <row r="223" ht="14.25" customHeight="1">
      <c r="B223" s="84" t="str">
        <f t="array" ref="B223">IFERROR(INDEX(Activos!$B$3:$C$16, MATCH(C223,Activos!$B$3:$B$16),2),"")</f>
        <v/>
      </c>
      <c r="C223" s="84"/>
      <c r="D223" s="84"/>
      <c r="E223" s="76"/>
      <c r="F223" s="76" t="str">
        <f>IF(E223='Tablas AR'!$B$4,1,IF('Análisis de Riesgos'!E223='Tablas AR'!$B$5,2,IF('Análisis de Riesgos'!E223='Tablas AR'!$B$6,3,"")))</f>
        <v/>
      </c>
      <c r="G223" s="76"/>
      <c r="H223" s="76" t="str">
        <f>IF(G223='Tablas AR'!$B$10,1,IF('Análisis de Riesgos'!G223='Tablas AR'!$B$11,2,IF('Análisis de Riesgos'!G223='Tablas AR'!$B$12,3,"")))</f>
        <v/>
      </c>
      <c r="I223" s="76">
        <f t="shared" si="1"/>
        <v>0</v>
      </c>
    </row>
    <row r="224" ht="14.25" customHeight="1">
      <c r="B224" s="84" t="str">
        <f t="array" ref="B224">IFERROR(INDEX(Activos!$B$3:$C$16, MATCH(C224,Activos!$B$3:$B$16),2),"")</f>
        <v/>
      </c>
      <c r="C224" s="84"/>
      <c r="D224" s="84"/>
      <c r="E224" s="76"/>
      <c r="F224" s="76" t="str">
        <f>IF(E224='Tablas AR'!$B$4,1,IF('Análisis de Riesgos'!E224='Tablas AR'!$B$5,2,IF('Análisis de Riesgos'!E224='Tablas AR'!$B$6,3,"")))</f>
        <v/>
      </c>
      <c r="G224" s="76"/>
      <c r="H224" s="76" t="str">
        <f>IF(G224='Tablas AR'!$B$10,1,IF('Análisis de Riesgos'!G224='Tablas AR'!$B$11,2,IF('Análisis de Riesgos'!G224='Tablas AR'!$B$12,3,"")))</f>
        <v/>
      </c>
      <c r="I224" s="76">
        <f t="shared" si="1"/>
        <v>0</v>
      </c>
    </row>
    <row r="225" ht="14.25" customHeight="1">
      <c r="B225" s="84" t="str">
        <f t="array" ref="B225">IFERROR(INDEX(Activos!$B$3:$C$16, MATCH(C225,Activos!$B$3:$B$16),2),"")</f>
        <v/>
      </c>
      <c r="C225" s="84"/>
      <c r="D225" s="84"/>
      <c r="E225" s="76"/>
      <c r="F225" s="76" t="str">
        <f>IF(E225='Tablas AR'!$B$4,1,IF('Análisis de Riesgos'!E225='Tablas AR'!$B$5,2,IF('Análisis de Riesgos'!E225='Tablas AR'!$B$6,3,"")))</f>
        <v/>
      </c>
      <c r="G225" s="76"/>
      <c r="H225" s="76" t="str">
        <f>IF(G225='Tablas AR'!$B$10,1,IF('Análisis de Riesgos'!G225='Tablas AR'!$B$11,2,IF('Análisis de Riesgos'!G225='Tablas AR'!$B$12,3,"")))</f>
        <v/>
      </c>
      <c r="I225" s="76">
        <f t="shared" si="1"/>
        <v>0</v>
      </c>
    </row>
    <row r="226" ht="14.25" customHeight="1">
      <c r="B226" s="84" t="str">
        <f t="array" ref="B226">IFERROR(INDEX(Activos!$B$3:$C$16, MATCH(C226,Activos!$B$3:$B$16),2),"")</f>
        <v/>
      </c>
      <c r="C226" s="84"/>
      <c r="D226" s="84"/>
      <c r="E226" s="76"/>
      <c r="F226" s="76" t="str">
        <f>IF(E226='Tablas AR'!$B$4,1,IF('Análisis de Riesgos'!E226='Tablas AR'!$B$5,2,IF('Análisis de Riesgos'!E226='Tablas AR'!$B$6,3,"")))</f>
        <v/>
      </c>
      <c r="G226" s="76"/>
      <c r="H226" s="76" t="str">
        <f>IF(G226='Tablas AR'!$B$10,1,IF('Análisis de Riesgos'!G226='Tablas AR'!$B$11,2,IF('Análisis de Riesgos'!G226='Tablas AR'!$B$12,3,"")))</f>
        <v/>
      </c>
      <c r="I226" s="76">
        <f t="shared" si="1"/>
        <v>0</v>
      </c>
    </row>
    <row r="227" ht="14.25" customHeight="1">
      <c r="B227" s="84" t="str">
        <f t="array" ref="B227">IFERROR(INDEX(Activos!$B$3:$C$16, MATCH(C227,Activos!$B$3:$B$16),2),"")</f>
        <v/>
      </c>
      <c r="C227" s="84"/>
      <c r="D227" s="84"/>
      <c r="E227" s="76"/>
      <c r="F227" s="76" t="str">
        <f>IF(E227='Tablas AR'!$B$4,1,IF('Análisis de Riesgos'!E227='Tablas AR'!$B$5,2,IF('Análisis de Riesgos'!E227='Tablas AR'!$B$6,3,"")))</f>
        <v/>
      </c>
      <c r="G227" s="76"/>
      <c r="H227" s="76" t="str">
        <f>IF(G227='Tablas AR'!$B$10,1,IF('Análisis de Riesgos'!G227='Tablas AR'!$B$11,2,IF('Análisis de Riesgos'!G227='Tablas AR'!$B$12,3,"")))</f>
        <v/>
      </c>
      <c r="I227" s="76">
        <f t="shared" si="1"/>
        <v>0</v>
      </c>
    </row>
    <row r="228" ht="14.25" customHeight="1">
      <c r="B228" s="84" t="str">
        <f t="array" ref="B228">IFERROR(INDEX(Activos!$B$3:$C$16, MATCH(C228,Activos!$B$3:$B$16),2),"")</f>
        <v/>
      </c>
      <c r="C228" s="84"/>
      <c r="D228" s="84"/>
      <c r="E228" s="76"/>
      <c r="F228" s="76" t="str">
        <f>IF(E228='Tablas AR'!$B$4,1,IF('Análisis de Riesgos'!E228='Tablas AR'!$B$5,2,IF('Análisis de Riesgos'!E228='Tablas AR'!$B$6,3,"")))</f>
        <v/>
      </c>
      <c r="G228" s="76"/>
      <c r="H228" s="76" t="str">
        <f>IF(G228='Tablas AR'!$B$10,1,IF('Análisis de Riesgos'!G228='Tablas AR'!$B$11,2,IF('Análisis de Riesgos'!G228='Tablas AR'!$B$12,3,"")))</f>
        <v/>
      </c>
      <c r="I228" s="76">
        <f t="shared" si="1"/>
        <v>0</v>
      </c>
    </row>
    <row r="229" ht="14.25" customHeight="1">
      <c r="B229" s="84" t="str">
        <f t="array" ref="B229">IFERROR(INDEX(Activos!$B$3:$C$16, MATCH(C229,Activos!$B$3:$B$16),2),"")</f>
        <v/>
      </c>
      <c r="C229" s="84"/>
      <c r="D229" s="84"/>
      <c r="E229" s="76"/>
      <c r="F229" s="76" t="str">
        <f>IF(E229='Tablas AR'!$B$4,1,IF('Análisis de Riesgos'!E229='Tablas AR'!$B$5,2,IF('Análisis de Riesgos'!E229='Tablas AR'!$B$6,3,"")))</f>
        <v/>
      </c>
      <c r="G229" s="76"/>
      <c r="H229" s="76" t="str">
        <f>IF(G229='Tablas AR'!$B$10,1,IF('Análisis de Riesgos'!G229='Tablas AR'!$B$11,2,IF('Análisis de Riesgos'!G229='Tablas AR'!$B$12,3,"")))</f>
        <v/>
      </c>
      <c r="I229" s="76">
        <f t="shared" si="1"/>
        <v>0</v>
      </c>
    </row>
    <row r="230" ht="14.25" customHeight="1">
      <c r="B230" s="84" t="str">
        <f t="array" ref="B230">IFERROR(INDEX(Activos!$B$3:$C$16, MATCH(C230,Activos!$B$3:$B$16),2),"")</f>
        <v/>
      </c>
      <c r="C230" s="84"/>
      <c r="D230" s="84"/>
      <c r="E230" s="76"/>
      <c r="F230" s="76" t="str">
        <f>IF(E230='Tablas AR'!$B$4,1,IF('Análisis de Riesgos'!E230='Tablas AR'!$B$5,2,IF('Análisis de Riesgos'!E230='Tablas AR'!$B$6,3,"")))</f>
        <v/>
      </c>
      <c r="G230" s="76"/>
      <c r="H230" s="76" t="str">
        <f>IF(G230='Tablas AR'!$B$10,1,IF('Análisis de Riesgos'!G230='Tablas AR'!$B$11,2,IF('Análisis de Riesgos'!G230='Tablas AR'!$B$12,3,"")))</f>
        <v/>
      </c>
      <c r="I230" s="76">
        <f t="shared" si="1"/>
        <v>0</v>
      </c>
    </row>
    <row r="231" ht="14.25" customHeight="1">
      <c r="B231" s="84" t="str">
        <f t="array" ref="B231">IFERROR(INDEX(Activos!$B$3:$C$16, MATCH(C231,Activos!$B$3:$B$16),2),"")</f>
        <v/>
      </c>
      <c r="C231" s="84"/>
      <c r="D231" s="84"/>
      <c r="E231" s="76"/>
      <c r="F231" s="76" t="str">
        <f>IF(E231='Tablas AR'!$B$4,1,IF('Análisis de Riesgos'!E231='Tablas AR'!$B$5,2,IF('Análisis de Riesgos'!E231='Tablas AR'!$B$6,3,"")))</f>
        <v/>
      </c>
      <c r="G231" s="76"/>
      <c r="H231" s="76" t="str">
        <f>IF(G231='Tablas AR'!$B$10,1,IF('Análisis de Riesgos'!G231='Tablas AR'!$B$11,2,IF('Análisis de Riesgos'!G231='Tablas AR'!$B$12,3,"")))</f>
        <v/>
      </c>
      <c r="I231" s="76">
        <f t="shared" si="1"/>
        <v>0</v>
      </c>
    </row>
    <row r="232" ht="14.25" customHeight="1">
      <c r="B232" s="84" t="str">
        <f t="array" ref="B232">IFERROR(INDEX(Activos!$B$3:$C$16, MATCH(C232,Activos!$B$3:$B$16),2),"")</f>
        <v/>
      </c>
      <c r="C232" s="84"/>
      <c r="D232" s="84"/>
      <c r="E232" s="76"/>
      <c r="F232" s="76" t="str">
        <f>IF(E232='Tablas AR'!$B$4,1,IF('Análisis de Riesgos'!E232='Tablas AR'!$B$5,2,IF('Análisis de Riesgos'!E232='Tablas AR'!$B$6,3,"")))</f>
        <v/>
      </c>
      <c r="G232" s="76"/>
      <c r="H232" s="76" t="str">
        <f>IF(G232='Tablas AR'!$B$10,1,IF('Análisis de Riesgos'!G232='Tablas AR'!$B$11,2,IF('Análisis de Riesgos'!G232='Tablas AR'!$B$12,3,"")))</f>
        <v/>
      </c>
      <c r="I232" s="76">
        <f t="shared" si="1"/>
        <v>0</v>
      </c>
    </row>
    <row r="233" ht="14.25" customHeight="1">
      <c r="B233" s="84" t="str">
        <f t="array" ref="B233">IFERROR(INDEX(Activos!$B$3:$C$16, MATCH(C233,Activos!$B$3:$B$16),2),"")</f>
        <v/>
      </c>
      <c r="C233" s="84"/>
      <c r="D233" s="84"/>
      <c r="E233" s="76"/>
      <c r="F233" s="76" t="str">
        <f>IF(E233='Tablas AR'!$B$4,1,IF('Análisis de Riesgos'!E233='Tablas AR'!$B$5,2,IF('Análisis de Riesgos'!E233='Tablas AR'!$B$6,3,"")))</f>
        <v/>
      </c>
      <c r="G233" s="76"/>
      <c r="H233" s="76" t="str">
        <f>IF(G233='Tablas AR'!$B$10,1,IF('Análisis de Riesgos'!G233='Tablas AR'!$B$11,2,IF('Análisis de Riesgos'!G233='Tablas AR'!$B$12,3,"")))</f>
        <v/>
      </c>
      <c r="I233" s="76">
        <f t="shared" si="1"/>
        <v>0</v>
      </c>
    </row>
    <row r="234" ht="14.25" customHeight="1">
      <c r="B234" s="84" t="str">
        <f t="array" ref="B234">IFERROR(INDEX(Activos!$B$3:$C$16, MATCH(C234,Activos!$B$3:$B$16),2),"")</f>
        <v/>
      </c>
      <c r="C234" s="84"/>
      <c r="D234" s="84"/>
      <c r="E234" s="76"/>
      <c r="F234" s="76" t="str">
        <f>IF(E234='Tablas AR'!$B$4,1,IF('Análisis de Riesgos'!E234='Tablas AR'!$B$5,2,IF('Análisis de Riesgos'!E234='Tablas AR'!$B$6,3,"")))</f>
        <v/>
      </c>
      <c r="G234" s="76"/>
      <c r="H234" s="76" t="str">
        <f>IF(G234='Tablas AR'!$B$10,1,IF('Análisis de Riesgos'!G234='Tablas AR'!$B$11,2,IF('Análisis de Riesgos'!G234='Tablas AR'!$B$12,3,"")))</f>
        <v/>
      </c>
      <c r="I234" s="76">
        <f t="shared" si="1"/>
        <v>0</v>
      </c>
    </row>
    <row r="235" ht="14.25" customHeight="1">
      <c r="B235" s="84" t="str">
        <f t="array" ref="B235">IFERROR(INDEX(Activos!$B$3:$C$16, MATCH(C235,Activos!$B$3:$B$16),2),"")</f>
        <v/>
      </c>
      <c r="C235" s="84"/>
      <c r="D235" s="84"/>
      <c r="E235" s="76"/>
      <c r="F235" s="76" t="str">
        <f>IF(E235='Tablas AR'!$B$4,1,IF('Análisis de Riesgos'!E235='Tablas AR'!$B$5,2,IF('Análisis de Riesgos'!E235='Tablas AR'!$B$6,3,"")))</f>
        <v/>
      </c>
      <c r="G235" s="76"/>
      <c r="H235" s="76" t="str">
        <f>IF(G235='Tablas AR'!$B$10,1,IF('Análisis de Riesgos'!G235='Tablas AR'!$B$11,2,IF('Análisis de Riesgos'!G235='Tablas AR'!$B$12,3,"")))</f>
        <v/>
      </c>
      <c r="I235" s="76">
        <f t="shared" si="1"/>
        <v>0</v>
      </c>
    </row>
    <row r="236" ht="14.25" customHeight="1">
      <c r="B236" s="84" t="str">
        <f t="array" ref="B236">IFERROR(INDEX(Activos!$B$3:$C$16, MATCH(C236,Activos!$B$3:$B$16),2),"")</f>
        <v/>
      </c>
      <c r="C236" s="84"/>
      <c r="D236" s="84"/>
      <c r="E236" s="76"/>
      <c r="F236" s="76" t="str">
        <f>IF(E236='Tablas AR'!$B$4,1,IF('Análisis de Riesgos'!E236='Tablas AR'!$B$5,2,IF('Análisis de Riesgos'!E236='Tablas AR'!$B$6,3,"")))</f>
        <v/>
      </c>
      <c r="G236" s="76"/>
      <c r="H236" s="76" t="str">
        <f>IF(G236='Tablas AR'!$B$10,1,IF('Análisis de Riesgos'!G236='Tablas AR'!$B$11,2,IF('Análisis de Riesgos'!G236='Tablas AR'!$B$12,3,"")))</f>
        <v/>
      </c>
      <c r="I236" s="76">
        <f t="shared" si="1"/>
        <v>0</v>
      </c>
    </row>
    <row r="237" ht="14.25" customHeight="1">
      <c r="B237" s="84" t="str">
        <f t="array" ref="B237">IFERROR(INDEX(Activos!$B$3:$C$16, MATCH(C237,Activos!$B$3:$B$16),2),"")</f>
        <v/>
      </c>
      <c r="C237" s="84"/>
      <c r="D237" s="84"/>
      <c r="E237" s="76"/>
      <c r="F237" s="76" t="str">
        <f>IF(E237='Tablas AR'!$B$4,1,IF('Análisis de Riesgos'!E237='Tablas AR'!$B$5,2,IF('Análisis de Riesgos'!E237='Tablas AR'!$B$6,3,"")))</f>
        <v/>
      </c>
      <c r="G237" s="76"/>
      <c r="H237" s="76" t="str">
        <f>IF(G237='Tablas AR'!$B$10,1,IF('Análisis de Riesgos'!G237='Tablas AR'!$B$11,2,IF('Análisis de Riesgos'!G237='Tablas AR'!$B$12,3,"")))</f>
        <v/>
      </c>
      <c r="I237" s="76">
        <f t="shared" si="1"/>
        <v>0</v>
      </c>
    </row>
    <row r="238" ht="14.25" customHeight="1">
      <c r="B238" s="84" t="str">
        <f t="array" ref="B238">IFERROR(INDEX(Activos!$B$3:$C$16, MATCH(C238,Activos!$B$3:$B$16),2),"")</f>
        <v/>
      </c>
      <c r="C238" s="84"/>
      <c r="D238" s="84"/>
      <c r="E238" s="76"/>
      <c r="F238" s="76" t="str">
        <f>IF(E238='Tablas AR'!$B$4,1,IF('Análisis de Riesgos'!E238='Tablas AR'!$B$5,2,IF('Análisis de Riesgos'!E238='Tablas AR'!$B$6,3,"")))</f>
        <v/>
      </c>
      <c r="G238" s="76"/>
      <c r="H238" s="76" t="str">
        <f>IF(G238='Tablas AR'!$B$10,1,IF('Análisis de Riesgos'!G238='Tablas AR'!$B$11,2,IF('Análisis de Riesgos'!G238='Tablas AR'!$B$12,3,"")))</f>
        <v/>
      </c>
      <c r="I238" s="76">
        <f t="shared" si="1"/>
        <v>0</v>
      </c>
    </row>
    <row r="239" ht="14.25" customHeight="1">
      <c r="B239" s="84" t="str">
        <f t="array" ref="B239">IFERROR(INDEX(Activos!$B$3:$C$16, MATCH(C239,Activos!$B$3:$B$16),2),"")</f>
        <v/>
      </c>
      <c r="C239" s="84"/>
      <c r="D239" s="84"/>
      <c r="E239" s="76"/>
      <c r="F239" s="76" t="str">
        <f>IF(E239='Tablas AR'!$B$4,1,IF('Análisis de Riesgos'!E239='Tablas AR'!$B$5,2,IF('Análisis de Riesgos'!E239='Tablas AR'!$B$6,3,"")))</f>
        <v/>
      </c>
      <c r="G239" s="76"/>
      <c r="H239" s="76" t="str">
        <f>IF(G239='Tablas AR'!$B$10,1,IF('Análisis de Riesgos'!G239='Tablas AR'!$B$11,2,IF('Análisis de Riesgos'!G239='Tablas AR'!$B$12,3,"")))</f>
        <v/>
      </c>
      <c r="I239" s="76">
        <f t="shared" si="1"/>
        <v>0</v>
      </c>
    </row>
    <row r="240" ht="14.25" customHeight="1">
      <c r="B240" s="84" t="str">
        <f t="array" ref="B240">IFERROR(INDEX(Activos!$B$3:$C$16, MATCH(C240,Activos!$B$3:$B$16),2),"")</f>
        <v/>
      </c>
      <c r="C240" s="84"/>
      <c r="D240" s="84"/>
      <c r="E240" s="76"/>
      <c r="F240" s="76" t="str">
        <f>IF(E240='Tablas AR'!$B$4,1,IF('Análisis de Riesgos'!E240='Tablas AR'!$B$5,2,IF('Análisis de Riesgos'!E240='Tablas AR'!$B$6,3,"")))</f>
        <v/>
      </c>
      <c r="G240" s="76"/>
      <c r="H240" s="76" t="str">
        <f>IF(G240='Tablas AR'!$B$10,1,IF('Análisis de Riesgos'!G240='Tablas AR'!$B$11,2,IF('Análisis de Riesgos'!G240='Tablas AR'!$B$12,3,"")))</f>
        <v/>
      </c>
      <c r="I240" s="76">
        <f t="shared" si="1"/>
        <v>0</v>
      </c>
    </row>
    <row r="241" ht="14.25" customHeight="1">
      <c r="B241" s="84" t="str">
        <f t="array" ref="B241">IFERROR(INDEX(Activos!$B$3:$C$16, MATCH(C241,Activos!$B$3:$B$16),2),"")</f>
        <v/>
      </c>
      <c r="C241" s="84"/>
      <c r="D241" s="84"/>
      <c r="E241" s="76"/>
      <c r="F241" s="76" t="str">
        <f>IF(E241='Tablas AR'!$B$4,1,IF('Análisis de Riesgos'!E241='Tablas AR'!$B$5,2,IF('Análisis de Riesgos'!E241='Tablas AR'!$B$6,3,"")))</f>
        <v/>
      </c>
      <c r="G241" s="76"/>
      <c r="H241" s="76" t="str">
        <f>IF(G241='Tablas AR'!$B$10,1,IF('Análisis de Riesgos'!G241='Tablas AR'!$B$11,2,IF('Análisis de Riesgos'!G241='Tablas AR'!$B$12,3,"")))</f>
        <v/>
      </c>
      <c r="I241" s="76">
        <f t="shared" si="1"/>
        <v>0</v>
      </c>
    </row>
    <row r="242" ht="14.25" customHeight="1">
      <c r="B242" s="84" t="str">
        <f t="array" ref="B242">IFERROR(INDEX(Activos!$B$3:$C$16, MATCH(C242,Activos!$B$3:$B$16),2),"")</f>
        <v/>
      </c>
      <c r="C242" s="84"/>
      <c r="D242" s="84"/>
      <c r="E242" s="76"/>
      <c r="F242" s="76" t="str">
        <f>IF(E242='Tablas AR'!$B$4,1,IF('Análisis de Riesgos'!E242='Tablas AR'!$B$5,2,IF('Análisis de Riesgos'!E242='Tablas AR'!$B$6,3,"")))</f>
        <v/>
      </c>
      <c r="G242" s="76"/>
      <c r="H242" s="76" t="str">
        <f>IF(G242='Tablas AR'!$B$10,1,IF('Análisis de Riesgos'!G242='Tablas AR'!$B$11,2,IF('Análisis de Riesgos'!G242='Tablas AR'!$B$12,3,"")))</f>
        <v/>
      </c>
      <c r="I242" s="76">
        <f t="shared" si="1"/>
        <v>0</v>
      </c>
    </row>
    <row r="243" ht="14.25" customHeight="1">
      <c r="B243" s="84" t="str">
        <f t="array" ref="B243">IFERROR(INDEX(Activos!$B$3:$C$16, MATCH(C243,Activos!$B$3:$B$16),2),"")</f>
        <v/>
      </c>
      <c r="C243" s="84"/>
      <c r="D243" s="84"/>
      <c r="E243" s="76"/>
      <c r="F243" s="76" t="str">
        <f>IF(E243='Tablas AR'!$B$4,1,IF('Análisis de Riesgos'!E243='Tablas AR'!$B$5,2,IF('Análisis de Riesgos'!E243='Tablas AR'!$B$6,3,"")))</f>
        <v/>
      </c>
      <c r="G243" s="76"/>
      <c r="H243" s="76" t="str">
        <f>IF(G243='Tablas AR'!$B$10,1,IF('Análisis de Riesgos'!G243='Tablas AR'!$B$11,2,IF('Análisis de Riesgos'!G243='Tablas AR'!$B$12,3,"")))</f>
        <v/>
      </c>
      <c r="I243" s="76">
        <f t="shared" si="1"/>
        <v>0</v>
      </c>
    </row>
    <row r="244" ht="14.25" customHeight="1">
      <c r="B244" s="84" t="str">
        <f t="array" ref="B244">IFERROR(INDEX(Activos!$B$3:$C$16, MATCH(C244,Activos!$B$3:$B$16),2),"")</f>
        <v/>
      </c>
      <c r="C244" s="84"/>
      <c r="D244" s="84"/>
      <c r="E244" s="76"/>
      <c r="F244" s="76" t="str">
        <f>IF(E244='Tablas AR'!$B$4,1,IF('Análisis de Riesgos'!E244='Tablas AR'!$B$5,2,IF('Análisis de Riesgos'!E244='Tablas AR'!$B$6,3,"")))</f>
        <v/>
      </c>
      <c r="G244" s="76"/>
      <c r="H244" s="76" t="str">
        <f>IF(G244='Tablas AR'!$B$10,1,IF('Análisis de Riesgos'!G244='Tablas AR'!$B$11,2,IF('Análisis de Riesgos'!G244='Tablas AR'!$B$12,3,"")))</f>
        <v/>
      </c>
      <c r="I244" s="76">
        <f t="shared" si="1"/>
        <v>0</v>
      </c>
    </row>
    <row r="245" ht="14.25" customHeight="1">
      <c r="B245" s="84" t="str">
        <f t="array" ref="B245">IFERROR(INDEX(Activos!$B$3:$C$16, MATCH(C245,Activos!$B$3:$B$16),2),"")</f>
        <v/>
      </c>
      <c r="C245" s="84"/>
      <c r="D245" s="84"/>
      <c r="E245" s="76"/>
      <c r="F245" s="76" t="str">
        <f>IF(E245='Tablas AR'!$B$4,1,IF('Análisis de Riesgos'!E245='Tablas AR'!$B$5,2,IF('Análisis de Riesgos'!E245='Tablas AR'!$B$6,3,"")))</f>
        <v/>
      </c>
      <c r="G245" s="76"/>
      <c r="H245" s="76" t="str">
        <f>IF(G245='Tablas AR'!$B$10,1,IF('Análisis de Riesgos'!G245='Tablas AR'!$B$11,2,IF('Análisis de Riesgos'!G245='Tablas AR'!$B$12,3,"")))</f>
        <v/>
      </c>
      <c r="I245" s="76">
        <f t="shared" si="1"/>
        <v>0</v>
      </c>
    </row>
    <row r="246" ht="14.25" customHeight="1">
      <c r="B246" s="84" t="str">
        <f t="array" ref="B246">IFERROR(INDEX(Activos!$B$3:$C$16, MATCH(C246,Activos!$B$3:$B$16),2),"")</f>
        <v/>
      </c>
      <c r="C246" s="84"/>
      <c r="D246" s="84"/>
      <c r="E246" s="76"/>
      <c r="F246" s="76" t="str">
        <f>IF(E246='Tablas AR'!$B$4,1,IF('Análisis de Riesgos'!E246='Tablas AR'!$B$5,2,IF('Análisis de Riesgos'!E246='Tablas AR'!$B$6,3,"")))</f>
        <v/>
      </c>
      <c r="G246" s="76"/>
      <c r="H246" s="76" t="str">
        <f>IF(G246='Tablas AR'!$B$10,1,IF('Análisis de Riesgos'!G246='Tablas AR'!$B$11,2,IF('Análisis de Riesgos'!G246='Tablas AR'!$B$12,3,"")))</f>
        <v/>
      </c>
      <c r="I246" s="76">
        <f t="shared" si="1"/>
        <v>0</v>
      </c>
    </row>
    <row r="247" ht="14.25" customHeight="1">
      <c r="B247" s="84" t="str">
        <f t="array" ref="B247">IFERROR(INDEX(Activos!$B$3:$C$16, MATCH(C247,Activos!$B$3:$B$16),2),"")</f>
        <v/>
      </c>
      <c r="C247" s="84"/>
      <c r="D247" s="84"/>
      <c r="E247" s="76"/>
      <c r="F247" s="76" t="str">
        <f>IF(E247='Tablas AR'!$B$4,1,IF('Análisis de Riesgos'!E247='Tablas AR'!$B$5,2,IF('Análisis de Riesgos'!E247='Tablas AR'!$B$6,3,"")))</f>
        <v/>
      </c>
      <c r="G247" s="76"/>
      <c r="H247" s="76" t="str">
        <f>IF(G247='Tablas AR'!$B$10,1,IF('Análisis de Riesgos'!G247='Tablas AR'!$B$11,2,IF('Análisis de Riesgos'!G247='Tablas AR'!$B$12,3,"")))</f>
        <v/>
      </c>
      <c r="I247" s="76">
        <f t="shared" si="1"/>
        <v>0</v>
      </c>
    </row>
    <row r="248" ht="14.25" customHeight="1">
      <c r="B248" s="84" t="str">
        <f t="array" ref="B248">IFERROR(INDEX(Activos!$B$3:$C$16, MATCH(C248,Activos!$B$3:$B$16),2),"")</f>
        <v/>
      </c>
      <c r="C248" s="84"/>
      <c r="D248" s="84"/>
      <c r="E248" s="76"/>
      <c r="F248" s="76" t="str">
        <f>IF(E248='Tablas AR'!$B$4,1,IF('Análisis de Riesgos'!E248='Tablas AR'!$B$5,2,IF('Análisis de Riesgos'!E248='Tablas AR'!$B$6,3,"")))</f>
        <v/>
      </c>
      <c r="G248" s="76"/>
      <c r="H248" s="76" t="str">
        <f>IF(G248='Tablas AR'!$B$10,1,IF('Análisis de Riesgos'!G248='Tablas AR'!$B$11,2,IF('Análisis de Riesgos'!G248='Tablas AR'!$B$12,3,"")))</f>
        <v/>
      </c>
      <c r="I248" s="76">
        <f t="shared" si="1"/>
        <v>0</v>
      </c>
    </row>
    <row r="249" ht="14.25" customHeight="1">
      <c r="B249" s="84" t="str">
        <f t="array" ref="B249">IFERROR(INDEX(Activos!$B$3:$C$16, MATCH(C249,Activos!$B$3:$B$16),2),"")</f>
        <v/>
      </c>
      <c r="C249" s="84"/>
      <c r="D249" s="84"/>
      <c r="E249" s="76"/>
      <c r="F249" s="76" t="str">
        <f>IF(E249='Tablas AR'!$B$4,1,IF('Análisis de Riesgos'!E249='Tablas AR'!$B$5,2,IF('Análisis de Riesgos'!E249='Tablas AR'!$B$6,3,"")))</f>
        <v/>
      </c>
      <c r="G249" s="76"/>
      <c r="H249" s="76" t="str">
        <f>IF(G249='Tablas AR'!$B$10,1,IF('Análisis de Riesgos'!G249='Tablas AR'!$B$11,2,IF('Análisis de Riesgos'!G249='Tablas AR'!$B$12,3,"")))</f>
        <v/>
      </c>
      <c r="I249" s="76">
        <f t="shared" si="1"/>
        <v>0</v>
      </c>
    </row>
    <row r="250" ht="14.25" customHeight="1">
      <c r="B250" s="84" t="str">
        <f t="array" ref="B250">IFERROR(INDEX(Activos!$B$3:$C$16, MATCH(C250,Activos!$B$3:$B$16),2),"")</f>
        <v/>
      </c>
      <c r="C250" s="84"/>
      <c r="D250" s="84"/>
      <c r="E250" s="76"/>
      <c r="F250" s="76" t="str">
        <f>IF(E250='Tablas AR'!$B$4,1,IF('Análisis de Riesgos'!E250='Tablas AR'!$B$5,2,IF('Análisis de Riesgos'!E250='Tablas AR'!$B$6,3,"")))</f>
        <v/>
      </c>
      <c r="G250" s="76"/>
      <c r="H250" s="76" t="str">
        <f>IF(G250='Tablas AR'!$B$10,1,IF('Análisis de Riesgos'!G250='Tablas AR'!$B$11,2,IF('Análisis de Riesgos'!G250='Tablas AR'!$B$12,3,"")))</f>
        <v/>
      </c>
      <c r="I250" s="76">
        <f t="shared" si="1"/>
        <v>0</v>
      </c>
    </row>
    <row r="251" ht="14.25" customHeight="1">
      <c r="B251" s="84" t="str">
        <f t="array" ref="B251">IFERROR(INDEX(Activos!$B$3:$C$16, MATCH(C251,Activos!$B$3:$B$16),2),"")</f>
        <v/>
      </c>
      <c r="C251" s="84"/>
      <c r="D251" s="84"/>
      <c r="E251" s="76"/>
      <c r="F251" s="76" t="str">
        <f>IF(E251='Tablas AR'!$B$4,1,IF('Análisis de Riesgos'!E251='Tablas AR'!$B$5,2,IF('Análisis de Riesgos'!E251='Tablas AR'!$B$6,3,"")))</f>
        <v/>
      </c>
      <c r="G251" s="76"/>
      <c r="H251" s="76" t="str">
        <f>IF(G251='Tablas AR'!$B$10,1,IF('Análisis de Riesgos'!G251='Tablas AR'!$B$11,2,IF('Análisis de Riesgos'!G251='Tablas AR'!$B$12,3,"")))</f>
        <v/>
      </c>
      <c r="I251" s="76">
        <f t="shared" si="1"/>
        <v>0</v>
      </c>
    </row>
    <row r="252" ht="14.25" customHeight="1">
      <c r="B252" s="84" t="str">
        <f t="array" ref="B252">IFERROR(INDEX(Activos!$B$3:$C$16, MATCH(C252,Activos!$B$3:$B$16),2),"")</f>
        <v/>
      </c>
      <c r="C252" s="84"/>
      <c r="D252" s="84"/>
      <c r="E252" s="76"/>
      <c r="F252" s="76" t="str">
        <f>IF(E252='Tablas AR'!$B$4,1,IF('Análisis de Riesgos'!E252='Tablas AR'!$B$5,2,IF('Análisis de Riesgos'!E252='Tablas AR'!$B$6,3,"")))</f>
        <v/>
      </c>
      <c r="G252" s="76"/>
      <c r="H252" s="76" t="str">
        <f>IF(G252='Tablas AR'!$B$10,1,IF('Análisis de Riesgos'!G252='Tablas AR'!$B$11,2,IF('Análisis de Riesgos'!G252='Tablas AR'!$B$12,3,"")))</f>
        <v/>
      </c>
      <c r="I252" s="76">
        <f t="shared" si="1"/>
        <v>0</v>
      </c>
    </row>
    <row r="253" ht="14.25" customHeight="1">
      <c r="B253" s="84" t="str">
        <f t="array" ref="B253">IFERROR(INDEX(Activos!$B$3:$C$16, MATCH(C253,Activos!$B$3:$B$16),2),"")</f>
        <v/>
      </c>
      <c r="C253" s="84"/>
      <c r="D253" s="84"/>
      <c r="E253" s="76"/>
      <c r="F253" s="76" t="str">
        <f>IF(E253='Tablas AR'!$B$4,1,IF('Análisis de Riesgos'!E253='Tablas AR'!$B$5,2,IF('Análisis de Riesgos'!E253='Tablas AR'!$B$6,3,"")))</f>
        <v/>
      </c>
      <c r="G253" s="76"/>
      <c r="H253" s="76" t="str">
        <f>IF(G253='Tablas AR'!$B$10,1,IF('Análisis de Riesgos'!G253='Tablas AR'!$B$11,2,IF('Análisis de Riesgos'!G253='Tablas AR'!$B$12,3,"")))</f>
        <v/>
      </c>
      <c r="I253" s="76">
        <f t="shared" si="1"/>
        <v>0</v>
      </c>
    </row>
    <row r="254" ht="14.25" customHeight="1">
      <c r="B254" s="84" t="str">
        <f t="array" ref="B254">IFERROR(INDEX(Activos!$B$3:$C$16, MATCH(C254,Activos!$B$3:$B$16),2),"")</f>
        <v/>
      </c>
      <c r="C254" s="84"/>
      <c r="D254" s="84"/>
      <c r="E254" s="76"/>
      <c r="F254" s="76" t="str">
        <f>IF(E254='Tablas AR'!$B$4,1,IF('Análisis de Riesgos'!E254='Tablas AR'!$B$5,2,IF('Análisis de Riesgos'!E254='Tablas AR'!$B$6,3,"")))</f>
        <v/>
      </c>
      <c r="G254" s="76"/>
      <c r="H254" s="76" t="str">
        <f>IF(G254='Tablas AR'!$B$10,1,IF('Análisis de Riesgos'!G254='Tablas AR'!$B$11,2,IF('Análisis de Riesgos'!G254='Tablas AR'!$B$12,3,"")))</f>
        <v/>
      </c>
      <c r="I254" s="76">
        <f t="shared" si="1"/>
        <v>0</v>
      </c>
    </row>
    <row r="255" ht="14.25" customHeight="1">
      <c r="B255" s="84" t="str">
        <f t="array" ref="B255">IFERROR(INDEX(Activos!$B$3:$C$16, MATCH(C255,Activos!$B$3:$B$16),2),"")</f>
        <v/>
      </c>
      <c r="C255" s="84"/>
      <c r="D255" s="84"/>
      <c r="E255" s="76"/>
      <c r="F255" s="76" t="str">
        <f>IF(E255='Tablas AR'!$B$4,1,IF('Análisis de Riesgos'!E255='Tablas AR'!$B$5,2,IF('Análisis de Riesgos'!E255='Tablas AR'!$B$6,3,"")))</f>
        <v/>
      </c>
      <c r="G255" s="76"/>
      <c r="H255" s="76" t="str">
        <f>IF(G255='Tablas AR'!$B$10,1,IF('Análisis de Riesgos'!G255='Tablas AR'!$B$11,2,IF('Análisis de Riesgos'!G255='Tablas AR'!$B$12,3,"")))</f>
        <v/>
      </c>
      <c r="I255" s="76">
        <f t="shared" si="1"/>
        <v>0</v>
      </c>
    </row>
    <row r="256" ht="14.25" customHeight="1">
      <c r="B256" s="84" t="str">
        <f t="array" ref="B256">IFERROR(INDEX(Activos!$B$3:$C$16, MATCH(C256,Activos!$B$3:$B$16),2),"")</f>
        <v/>
      </c>
      <c r="C256" s="84"/>
      <c r="D256" s="84"/>
      <c r="E256" s="76"/>
      <c r="F256" s="76" t="str">
        <f>IF(E256='Tablas AR'!$B$4,1,IF('Análisis de Riesgos'!E256='Tablas AR'!$B$5,2,IF('Análisis de Riesgos'!E256='Tablas AR'!$B$6,3,"")))</f>
        <v/>
      </c>
      <c r="G256" s="76"/>
      <c r="H256" s="76" t="str">
        <f>IF(G256='Tablas AR'!$B$10,1,IF('Análisis de Riesgos'!G256='Tablas AR'!$B$11,2,IF('Análisis de Riesgos'!G256='Tablas AR'!$B$12,3,"")))</f>
        <v/>
      </c>
      <c r="I256" s="76">
        <f t="shared" si="1"/>
        <v>0</v>
      </c>
    </row>
    <row r="257" ht="14.25" customHeight="1">
      <c r="B257" s="84" t="str">
        <f t="array" ref="B257">IFERROR(INDEX(Activos!$B$3:$C$16, MATCH(C257,Activos!$B$3:$B$16),2),"")</f>
        <v/>
      </c>
      <c r="C257" s="84"/>
      <c r="D257" s="84"/>
      <c r="E257" s="76"/>
      <c r="F257" s="76" t="str">
        <f>IF(E257='Tablas AR'!$B$4,1,IF('Análisis de Riesgos'!E257='Tablas AR'!$B$5,2,IF('Análisis de Riesgos'!E257='Tablas AR'!$B$6,3,"")))</f>
        <v/>
      </c>
      <c r="G257" s="76"/>
      <c r="H257" s="76" t="str">
        <f>IF(G257='Tablas AR'!$B$10,1,IF('Análisis de Riesgos'!G257='Tablas AR'!$B$11,2,IF('Análisis de Riesgos'!G257='Tablas AR'!$B$12,3,"")))</f>
        <v/>
      </c>
      <c r="I257" s="76">
        <f t="shared" si="1"/>
        <v>0</v>
      </c>
    </row>
    <row r="258" ht="14.25" customHeight="1">
      <c r="B258" s="84" t="str">
        <f t="array" ref="B258">IFERROR(INDEX(Activos!$B$3:$C$16, MATCH(C258,Activos!$B$3:$B$16),2),"")</f>
        <v/>
      </c>
      <c r="C258" s="84"/>
      <c r="D258" s="84"/>
      <c r="E258" s="76"/>
      <c r="F258" s="76" t="str">
        <f>IF(E258='Tablas AR'!$B$4,1,IF('Análisis de Riesgos'!E258='Tablas AR'!$B$5,2,IF('Análisis de Riesgos'!E258='Tablas AR'!$B$6,3,"")))</f>
        <v/>
      </c>
      <c r="G258" s="76"/>
      <c r="H258" s="76" t="str">
        <f>IF(G258='Tablas AR'!$B$10,1,IF('Análisis de Riesgos'!G258='Tablas AR'!$B$11,2,IF('Análisis de Riesgos'!G258='Tablas AR'!$B$12,3,"")))</f>
        <v/>
      </c>
      <c r="I258" s="76">
        <f t="shared" si="1"/>
        <v>0</v>
      </c>
    </row>
    <row r="259" ht="14.25" customHeight="1">
      <c r="B259" s="84" t="str">
        <f t="array" ref="B259">IFERROR(INDEX(Activos!$B$3:$C$16, MATCH(C259,Activos!$B$3:$B$16),2),"")</f>
        <v/>
      </c>
      <c r="C259" s="84"/>
      <c r="D259" s="84"/>
      <c r="E259" s="76"/>
      <c r="F259" s="76" t="str">
        <f>IF(E259='Tablas AR'!$B$4,1,IF('Análisis de Riesgos'!E259='Tablas AR'!$B$5,2,IF('Análisis de Riesgos'!E259='Tablas AR'!$B$6,3,"")))</f>
        <v/>
      </c>
      <c r="G259" s="76"/>
      <c r="H259" s="76" t="str">
        <f>IF(G259='Tablas AR'!$B$10,1,IF('Análisis de Riesgos'!G259='Tablas AR'!$B$11,2,IF('Análisis de Riesgos'!G259='Tablas AR'!$B$12,3,"")))</f>
        <v/>
      </c>
      <c r="I259" s="76">
        <f t="shared" si="1"/>
        <v>0</v>
      </c>
    </row>
    <row r="260" ht="14.25" customHeight="1">
      <c r="B260" s="84" t="str">
        <f t="array" ref="B260">IFERROR(INDEX(Activos!$B$3:$C$16, MATCH(C260,Activos!$B$3:$B$16),2),"")</f>
        <v/>
      </c>
      <c r="C260" s="84"/>
      <c r="D260" s="84"/>
      <c r="E260" s="76"/>
      <c r="F260" s="76" t="str">
        <f>IF(E260='Tablas AR'!$B$4,1,IF('Análisis de Riesgos'!E260='Tablas AR'!$B$5,2,IF('Análisis de Riesgos'!E260='Tablas AR'!$B$6,3,"")))</f>
        <v/>
      </c>
      <c r="G260" s="76"/>
      <c r="H260" s="76" t="str">
        <f>IF(G260='Tablas AR'!$B$10,1,IF('Análisis de Riesgos'!G260='Tablas AR'!$B$11,2,IF('Análisis de Riesgos'!G260='Tablas AR'!$B$12,3,"")))</f>
        <v/>
      </c>
      <c r="I260" s="76">
        <f t="shared" si="1"/>
        <v>0</v>
      </c>
    </row>
    <row r="261" ht="14.25" customHeight="1">
      <c r="B261" s="84" t="str">
        <f t="array" ref="B261">IFERROR(INDEX(Activos!$B$3:$C$16, MATCH(C261,Activos!$B$3:$B$16),2),"")</f>
        <v/>
      </c>
      <c r="C261" s="84"/>
      <c r="D261" s="84"/>
      <c r="E261" s="76"/>
      <c r="F261" s="76" t="str">
        <f>IF(E261='Tablas AR'!$B$4,1,IF('Análisis de Riesgos'!E261='Tablas AR'!$B$5,2,IF('Análisis de Riesgos'!E261='Tablas AR'!$B$6,3,"")))</f>
        <v/>
      </c>
      <c r="G261" s="76"/>
      <c r="H261" s="76" t="str">
        <f>IF(G261='Tablas AR'!$B$10,1,IF('Análisis de Riesgos'!G261='Tablas AR'!$B$11,2,IF('Análisis de Riesgos'!G261='Tablas AR'!$B$12,3,"")))</f>
        <v/>
      </c>
      <c r="I261" s="76">
        <f t="shared" si="1"/>
        <v>0</v>
      </c>
    </row>
    <row r="262" ht="14.25" customHeight="1">
      <c r="B262" s="84" t="str">
        <f t="array" ref="B262">IFERROR(INDEX(Activos!$B$3:$C$16, MATCH(C262,Activos!$B$3:$B$16),2),"")</f>
        <v/>
      </c>
      <c r="C262" s="84"/>
      <c r="D262" s="84"/>
      <c r="E262" s="76"/>
      <c r="F262" s="76" t="str">
        <f>IF(E262='Tablas AR'!$B$4,1,IF('Análisis de Riesgos'!E262='Tablas AR'!$B$5,2,IF('Análisis de Riesgos'!E262='Tablas AR'!$B$6,3,"")))</f>
        <v/>
      </c>
      <c r="G262" s="76"/>
      <c r="H262" s="76" t="str">
        <f>IF(G262='Tablas AR'!$B$10,1,IF('Análisis de Riesgos'!G262='Tablas AR'!$B$11,2,IF('Análisis de Riesgos'!G262='Tablas AR'!$B$12,3,"")))</f>
        <v/>
      </c>
      <c r="I262" s="76">
        <f t="shared" si="1"/>
        <v>0</v>
      </c>
    </row>
    <row r="263" ht="14.25" customHeight="1">
      <c r="B263" s="84" t="str">
        <f t="array" ref="B263">IFERROR(INDEX(Activos!$B$3:$C$16, MATCH(C263,Activos!$B$3:$B$16),2),"")</f>
        <v/>
      </c>
      <c r="C263" s="84"/>
      <c r="D263" s="84"/>
      <c r="E263" s="76"/>
      <c r="F263" s="76" t="str">
        <f>IF(E263='Tablas AR'!$B$4,1,IF('Análisis de Riesgos'!E263='Tablas AR'!$B$5,2,IF('Análisis de Riesgos'!E263='Tablas AR'!$B$6,3,"")))</f>
        <v/>
      </c>
      <c r="G263" s="76"/>
      <c r="H263" s="76" t="str">
        <f>IF(G263='Tablas AR'!$B$10,1,IF('Análisis de Riesgos'!G263='Tablas AR'!$B$11,2,IF('Análisis de Riesgos'!G263='Tablas AR'!$B$12,3,"")))</f>
        <v/>
      </c>
      <c r="I263" s="76">
        <f t="shared" si="1"/>
        <v>0</v>
      </c>
    </row>
    <row r="264" ht="14.25" customHeight="1">
      <c r="B264" s="84" t="str">
        <f t="array" ref="B264">IFERROR(INDEX(Activos!$B$3:$C$16, MATCH(C264,Activos!$B$3:$B$16),2),"")</f>
        <v/>
      </c>
      <c r="C264" s="84"/>
      <c r="D264" s="84"/>
      <c r="E264" s="76"/>
      <c r="F264" s="76" t="str">
        <f>IF(E264='Tablas AR'!$B$4,1,IF('Análisis de Riesgos'!E264='Tablas AR'!$B$5,2,IF('Análisis de Riesgos'!E264='Tablas AR'!$B$6,3,"")))</f>
        <v/>
      </c>
      <c r="G264" s="76"/>
      <c r="H264" s="76" t="str">
        <f>IF(G264='Tablas AR'!$B$10,1,IF('Análisis de Riesgos'!G264='Tablas AR'!$B$11,2,IF('Análisis de Riesgos'!G264='Tablas AR'!$B$12,3,"")))</f>
        <v/>
      </c>
      <c r="I264" s="76">
        <f t="shared" si="1"/>
        <v>0</v>
      </c>
    </row>
    <row r="265" ht="14.25" customHeight="1">
      <c r="B265" s="84" t="str">
        <f t="array" ref="B265">IFERROR(INDEX(Activos!$B$3:$C$16, MATCH(C265,Activos!$B$3:$B$16),2),"")</f>
        <v/>
      </c>
      <c r="C265" s="84"/>
      <c r="D265" s="84"/>
      <c r="E265" s="76"/>
      <c r="F265" s="76" t="str">
        <f>IF(E265='Tablas AR'!$B$4,1,IF('Análisis de Riesgos'!E265='Tablas AR'!$B$5,2,IF('Análisis de Riesgos'!E265='Tablas AR'!$B$6,3,"")))</f>
        <v/>
      </c>
      <c r="G265" s="76"/>
      <c r="H265" s="76" t="str">
        <f>IF(G265='Tablas AR'!$B$10,1,IF('Análisis de Riesgos'!G265='Tablas AR'!$B$11,2,IF('Análisis de Riesgos'!G265='Tablas AR'!$B$12,3,"")))</f>
        <v/>
      </c>
      <c r="I265" s="76">
        <f t="shared" si="1"/>
        <v>0</v>
      </c>
    </row>
    <row r="266" ht="14.25" customHeight="1">
      <c r="B266" s="84" t="str">
        <f t="array" ref="B266">IFERROR(INDEX(Activos!$B$3:$C$16, MATCH(C266,Activos!$B$3:$B$16),2),"")</f>
        <v/>
      </c>
      <c r="C266" s="84"/>
      <c r="D266" s="84"/>
      <c r="E266" s="76"/>
      <c r="F266" s="76" t="str">
        <f>IF(E266='Tablas AR'!$B$4,1,IF('Análisis de Riesgos'!E266='Tablas AR'!$B$5,2,IF('Análisis de Riesgos'!E266='Tablas AR'!$B$6,3,"")))</f>
        <v/>
      </c>
      <c r="G266" s="76"/>
      <c r="H266" s="76" t="str">
        <f>IF(G266='Tablas AR'!$B$10,1,IF('Análisis de Riesgos'!G266='Tablas AR'!$B$11,2,IF('Análisis de Riesgos'!G266='Tablas AR'!$B$12,3,"")))</f>
        <v/>
      </c>
      <c r="I266" s="76">
        <f t="shared" si="1"/>
        <v>0</v>
      </c>
    </row>
    <row r="267" ht="14.25" customHeight="1">
      <c r="B267" s="84" t="str">
        <f t="array" ref="B267">IFERROR(INDEX(Activos!$B$3:$C$16, MATCH(C267,Activos!$B$3:$B$16),2),"")</f>
        <v/>
      </c>
      <c r="C267" s="84"/>
      <c r="D267" s="84"/>
      <c r="E267" s="76"/>
      <c r="F267" s="76" t="str">
        <f>IF(E267='Tablas AR'!$B$4,1,IF('Análisis de Riesgos'!E267='Tablas AR'!$B$5,2,IF('Análisis de Riesgos'!E267='Tablas AR'!$B$6,3,"")))</f>
        <v/>
      </c>
      <c r="G267" s="76"/>
      <c r="H267" s="76" t="str">
        <f>IF(G267='Tablas AR'!$B$10,1,IF('Análisis de Riesgos'!G267='Tablas AR'!$B$11,2,IF('Análisis de Riesgos'!G267='Tablas AR'!$B$12,3,"")))</f>
        <v/>
      </c>
      <c r="I267" s="76">
        <f t="shared" si="1"/>
        <v>0</v>
      </c>
    </row>
    <row r="268" ht="14.25" customHeight="1">
      <c r="B268" s="84" t="str">
        <f t="array" ref="B268">IFERROR(INDEX(Activos!$B$3:$C$16, MATCH(C268,Activos!$B$3:$B$16),2),"")</f>
        <v/>
      </c>
      <c r="C268" s="84"/>
      <c r="D268" s="84"/>
      <c r="E268" s="76"/>
      <c r="F268" s="76" t="str">
        <f>IF(E268='Tablas AR'!$B$4,1,IF('Análisis de Riesgos'!E268='Tablas AR'!$B$5,2,IF('Análisis de Riesgos'!E268='Tablas AR'!$B$6,3,"")))</f>
        <v/>
      </c>
      <c r="G268" s="76"/>
      <c r="H268" s="76" t="str">
        <f>IF(G268='Tablas AR'!$B$10,1,IF('Análisis de Riesgos'!G268='Tablas AR'!$B$11,2,IF('Análisis de Riesgos'!G268='Tablas AR'!$B$12,3,"")))</f>
        <v/>
      </c>
      <c r="I268" s="76">
        <f t="shared" si="1"/>
        <v>0</v>
      </c>
    </row>
    <row r="269" ht="14.25" customHeight="1">
      <c r="B269" s="84" t="str">
        <f t="array" ref="B269">IFERROR(INDEX(Activos!$B$3:$C$16, MATCH(C269,Activos!$B$3:$B$16),2),"")</f>
        <v/>
      </c>
      <c r="C269" s="84"/>
      <c r="D269" s="84"/>
      <c r="E269" s="76"/>
      <c r="F269" s="76" t="str">
        <f>IF(E269='Tablas AR'!$B$4,1,IF('Análisis de Riesgos'!E269='Tablas AR'!$B$5,2,IF('Análisis de Riesgos'!E269='Tablas AR'!$B$6,3,"")))</f>
        <v/>
      </c>
      <c r="G269" s="76"/>
      <c r="H269" s="76" t="str">
        <f>IF(G269='Tablas AR'!$B$10,1,IF('Análisis de Riesgos'!G269='Tablas AR'!$B$11,2,IF('Análisis de Riesgos'!G269='Tablas AR'!$B$12,3,"")))</f>
        <v/>
      </c>
      <c r="I269" s="76">
        <f t="shared" si="1"/>
        <v>0</v>
      </c>
    </row>
    <row r="270" ht="14.25" customHeight="1">
      <c r="B270" s="84" t="str">
        <f t="array" ref="B270">IFERROR(INDEX(Activos!$B$3:$C$16, MATCH(C270,Activos!$B$3:$B$16),2),"")</f>
        <v/>
      </c>
      <c r="C270" s="84"/>
      <c r="D270" s="84"/>
      <c r="E270" s="76"/>
      <c r="F270" s="76" t="str">
        <f>IF(E270='Tablas AR'!$B$4,1,IF('Análisis de Riesgos'!E270='Tablas AR'!$B$5,2,IF('Análisis de Riesgos'!E270='Tablas AR'!$B$6,3,"")))</f>
        <v/>
      </c>
      <c r="G270" s="76"/>
      <c r="H270" s="76" t="str">
        <f>IF(G270='Tablas AR'!$B$10,1,IF('Análisis de Riesgos'!G270='Tablas AR'!$B$11,2,IF('Análisis de Riesgos'!G270='Tablas AR'!$B$12,3,"")))</f>
        <v/>
      </c>
      <c r="I270" s="76">
        <f t="shared" si="1"/>
        <v>0</v>
      </c>
    </row>
    <row r="271" ht="14.25" customHeight="1">
      <c r="B271" s="84" t="str">
        <f t="array" ref="B271">IFERROR(INDEX(Activos!$B$3:$C$16, MATCH(C271,Activos!$B$3:$B$16),2),"")</f>
        <v/>
      </c>
      <c r="C271" s="84"/>
      <c r="D271" s="84"/>
      <c r="E271" s="76"/>
      <c r="F271" s="76" t="str">
        <f>IF(E271='Tablas AR'!$B$4,1,IF('Análisis de Riesgos'!E271='Tablas AR'!$B$5,2,IF('Análisis de Riesgos'!E271='Tablas AR'!$B$6,3,"")))</f>
        <v/>
      </c>
      <c r="G271" s="76"/>
      <c r="H271" s="76" t="str">
        <f>IF(G271='Tablas AR'!$B$10,1,IF('Análisis de Riesgos'!G271='Tablas AR'!$B$11,2,IF('Análisis de Riesgos'!G271='Tablas AR'!$B$12,3,"")))</f>
        <v/>
      </c>
      <c r="I271" s="76">
        <f t="shared" si="1"/>
        <v>0</v>
      </c>
    </row>
    <row r="272" ht="14.25" customHeight="1">
      <c r="B272" s="84" t="str">
        <f t="array" ref="B272">IFERROR(INDEX(Activos!$B$3:$C$16, MATCH(C272,Activos!$B$3:$B$16),2),"")</f>
        <v/>
      </c>
      <c r="C272" s="84"/>
      <c r="D272" s="84"/>
      <c r="E272" s="76"/>
      <c r="F272" s="76" t="str">
        <f>IF(E272='Tablas AR'!$B$4,1,IF('Análisis de Riesgos'!E272='Tablas AR'!$B$5,2,IF('Análisis de Riesgos'!E272='Tablas AR'!$B$6,3,"")))</f>
        <v/>
      </c>
      <c r="G272" s="76"/>
      <c r="H272" s="76" t="str">
        <f>IF(G272='Tablas AR'!$B$10,1,IF('Análisis de Riesgos'!G272='Tablas AR'!$B$11,2,IF('Análisis de Riesgos'!G272='Tablas AR'!$B$12,3,"")))</f>
        <v/>
      </c>
      <c r="I272" s="76">
        <f t="shared" si="1"/>
        <v>0</v>
      </c>
    </row>
    <row r="273" ht="14.25" customHeight="1">
      <c r="B273" s="84" t="str">
        <f t="array" ref="B273">IFERROR(INDEX(Activos!$B$3:$C$16, MATCH(C273,Activos!$B$3:$B$16),2),"")</f>
        <v/>
      </c>
      <c r="C273" s="84"/>
      <c r="D273" s="84"/>
      <c r="E273" s="76"/>
      <c r="F273" s="76" t="str">
        <f>IF(E273='Tablas AR'!$B$4,1,IF('Análisis de Riesgos'!E273='Tablas AR'!$B$5,2,IF('Análisis de Riesgos'!E273='Tablas AR'!$B$6,3,"")))</f>
        <v/>
      </c>
      <c r="G273" s="76"/>
      <c r="H273" s="76" t="str">
        <f>IF(G273='Tablas AR'!$B$10,1,IF('Análisis de Riesgos'!G273='Tablas AR'!$B$11,2,IF('Análisis de Riesgos'!G273='Tablas AR'!$B$12,3,"")))</f>
        <v/>
      </c>
      <c r="I273" s="76">
        <f t="shared" si="1"/>
        <v>0</v>
      </c>
    </row>
    <row r="274" ht="14.25" customHeight="1">
      <c r="B274" s="84" t="str">
        <f t="array" ref="B274">IFERROR(INDEX(Activos!$B$3:$C$16, MATCH(C274,Activos!$B$3:$B$16),2),"")</f>
        <v/>
      </c>
      <c r="C274" s="84"/>
      <c r="D274" s="84"/>
      <c r="E274" s="76"/>
      <c r="F274" s="76" t="str">
        <f>IF(E274='Tablas AR'!$B$4,1,IF('Análisis de Riesgos'!E274='Tablas AR'!$B$5,2,IF('Análisis de Riesgos'!E274='Tablas AR'!$B$6,3,"")))</f>
        <v/>
      </c>
      <c r="G274" s="76"/>
      <c r="H274" s="76" t="str">
        <f>IF(G274='Tablas AR'!$B$10,1,IF('Análisis de Riesgos'!G274='Tablas AR'!$B$11,2,IF('Análisis de Riesgos'!G274='Tablas AR'!$B$12,3,"")))</f>
        <v/>
      </c>
      <c r="I274" s="76">
        <f t="shared" si="1"/>
        <v>0</v>
      </c>
    </row>
    <row r="275" ht="14.25" customHeight="1">
      <c r="B275" s="84" t="str">
        <f t="array" ref="B275">IFERROR(INDEX(Activos!$B$3:$C$16, MATCH(C275,Activos!$B$3:$B$16),2),"")</f>
        <v/>
      </c>
      <c r="C275" s="84"/>
      <c r="D275" s="84"/>
      <c r="E275" s="76"/>
      <c r="F275" s="76" t="str">
        <f>IF(E275='Tablas AR'!$B$4,1,IF('Análisis de Riesgos'!E275='Tablas AR'!$B$5,2,IF('Análisis de Riesgos'!E275='Tablas AR'!$B$6,3,"")))</f>
        <v/>
      </c>
      <c r="G275" s="76"/>
      <c r="H275" s="76" t="str">
        <f>IF(G275='Tablas AR'!$B$10,1,IF('Análisis de Riesgos'!G275='Tablas AR'!$B$11,2,IF('Análisis de Riesgos'!G275='Tablas AR'!$B$12,3,"")))</f>
        <v/>
      </c>
      <c r="I275" s="76">
        <f t="shared" si="1"/>
        <v>0</v>
      </c>
    </row>
    <row r="276" ht="14.25" customHeight="1">
      <c r="B276" s="84" t="str">
        <f t="array" ref="B276">IFERROR(INDEX(Activos!$B$3:$C$16, MATCH(C276,Activos!$B$3:$B$16),2),"")</f>
        <v/>
      </c>
      <c r="C276" s="84"/>
      <c r="D276" s="84"/>
      <c r="E276" s="76"/>
      <c r="F276" s="76" t="str">
        <f>IF(E276='Tablas AR'!$B$4,1,IF('Análisis de Riesgos'!E276='Tablas AR'!$B$5,2,IF('Análisis de Riesgos'!E276='Tablas AR'!$B$6,3,"")))</f>
        <v/>
      </c>
      <c r="G276" s="76"/>
      <c r="H276" s="76" t="str">
        <f>IF(G276='Tablas AR'!$B$10,1,IF('Análisis de Riesgos'!G276='Tablas AR'!$B$11,2,IF('Análisis de Riesgos'!G276='Tablas AR'!$B$12,3,"")))</f>
        <v/>
      </c>
      <c r="I276" s="76">
        <f t="shared" si="1"/>
        <v>0</v>
      </c>
    </row>
    <row r="277" ht="14.25" customHeight="1">
      <c r="B277" s="84" t="str">
        <f t="array" ref="B277">IFERROR(INDEX(Activos!$B$3:$C$16, MATCH(C277,Activos!$B$3:$B$16),2),"")</f>
        <v/>
      </c>
      <c r="C277" s="84"/>
      <c r="D277" s="84"/>
      <c r="E277" s="76"/>
      <c r="F277" s="76" t="str">
        <f>IF(E277='Tablas AR'!$B$4,1,IF('Análisis de Riesgos'!E277='Tablas AR'!$B$5,2,IF('Análisis de Riesgos'!E277='Tablas AR'!$B$6,3,"")))</f>
        <v/>
      </c>
      <c r="G277" s="76"/>
      <c r="H277" s="76" t="str">
        <f>IF(G277='Tablas AR'!$B$10,1,IF('Análisis de Riesgos'!G277='Tablas AR'!$B$11,2,IF('Análisis de Riesgos'!G277='Tablas AR'!$B$12,3,"")))</f>
        <v/>
      </c>
      <c r="I277" s="76">
        <f t="shared" si="1"/>
        <v>0</v>
      </c>
    </row>
    <row r="278" ht="14.25" customHeight="1">
      <c r="B278" s="84" t="str">
        <f t="array" ref="B278">IFERROR(INDEX(Activos!$B$3:$C$16, MATCH(C278,Activos!$B$3:$B$16),2),"")</f>
        <v/>
      </c>
      <c r="C278" s="84"/>
      <c r="D278" s="84"/>
      <c r="E278" s="76"/>
      <c r="F278" s="76" t="str">
        <f>IF(E278='Tablas AR'!$B$4,1,IF('Análisis de Riesgos'!E278='Tablas AR'!$B$5,2,IF('Análisis de Riesgos'!E278='Tablas AR'!$B$6,3,"")))</f>
        <v/>
      </c>
      <c r="G278" s="76"/>
      <c r="H278" s="76" t="str">
        <f>IF(G278='Tablas AR'!$B$10,1,IF('Análisis de Riesgos'!G278='Tablas AR'!$B$11,2,IF('Análisis de Riesgos'!G278='Tablas AR'!$B$12,3,"")))</f>
        <v/>
      </c>
      <c r="I278" s="76">
        <f t="shared" si="1"/>
        <v>0</v>
      </c>
    </row>
    <row r="279" ht="14.25" customHeight="1">
      <c r="B279" s="84" t="str">
        <f t="array" ref="B279">IFERROR(INDEX(Activos!$B$3:$C$16, MATCH(C279,Activos!$B$3:$B$16),2),"")</f>
        <v/>
      </c>
      <c r="C279" s="84"/>
      <c r="D279" s="84"/>
      <c r="E279" s="76"/>
      <c r="F279" s="76" t="str">
        <f>IF(E279='Tablas AR'!$B$4,1,IF('Análisis de Riesgos'!E279='Tablas AR'!$B$5,2,IF('Análisis de Riesgos'!E279='Tablas AR'!$B$6,3,"")))</f>
        <v/>
      </c>
      <c r="G279" s="76"/>
      <c r="H279" s="76" t="str">
        <f>IF(G279='Tablas AR'!$B$10,1,IF('Análisis de Riesgos'!G279='Tablas AR'!$B$11,2,IF('Análisis de Riesgos'!G279='Tablas AR'!$B$12,3,"")))</f>
        <v/>
      </c>
      <c r="I279" s="76">
        <f t="shared" si="1"/>
        <v>0</v>
      </c>
    </row>
    <row r="280" ht="14.25" customHeight="1">
      <c r="B280" s="84" t="str">
        <f t="array" ref="B280">IFERROR(INDEX(Activos!$B$3:$C$16, MATCH(C280,Activos!$B$3:$B$16),2),"")</f>
        <v/>
      </c>
      <c r="C280" s="84"/>
      <c r="D280" s="84"/>
      <c r="E280" s="76"/>
      <c r="F280" s="76" t="str">
        <f>IF(E280='Tablas AR'!$B$4,1,IF('Análisis de Riesgos'!E280='Tablas AR'!$B$5,2,IF('Análisis de Riesgos'!E280='Tablas AR'!$B$6,3,"")))</f>
        <v/>
      </c>
      <c r="G280" s="76"/>
      <c r="H280" s="76" t="str">
        <f>IF(G280='Tablas AR'!$B$10,1,IF('Análisis de Riesgos'!G280='Tablas AR'!$B$11,2,IF('Análisis de Riesgos'!G280='Tablas AR'!$B$12,3,"")))</f>
        <v/>
      </c>
      <c r="I280" s="76">
        <f t="shared" si="1"/>
        <v>0</v>
      </c>
    </row>
    <row r="281" ht="14.25" customHeight="1">
      <c r="B281" s="84" t="str">
        <f t="array" ref="B281">IFERROR(INDEX(Activos!$B$3:$C$16, MATCH(C281,Activos!$B$3:$B$16),2),"")</f>
        <v/>
      </c>
      <c r="C281" s="84"/>
      <c r="D281" s="84"/>
      <c r="E281" s="76"/>
      <c r="F281" s="76" t="str">
        <f>IF(E281='Tablas AR'!$B$4,1,IF('Análisis de Riesgos'!E281='Tablas AR'!$B$5,2,IF('Análisis de Riesgos'!E281='Tablas AR'!$B$6,3,"")))</f>
        <v/>
      </c>
      <c r="G281" s="76"/>
      <c r="H281" s="76" t="str">
        <f>IF(G281='Tablas AR'!$B$10,1,IF('Análisis de Riesgos'!G281='Tablas AR'!$B$11,2,IF('Análisis de Riesgos'!G281='Tablas AR'!$B$12,3,"")))</f>
        <v/>
      </c>
      <c r="I281" s="76">
        <f t="shared" si="1"/>
        <v>0</v>
      </c>
    </row>
    <row r="282" ht="14.25" customHeight="1">
      <c r="B282" s="84" t="str">
        <f t="array" ref="B282">IFERROR(INDEX(Activos!$B$3:$C$16, MATCH(C282,Activos!$B$3:$B$16),2),"")</f>
        <v/>
      </c>
      <c r="C282" s="84"/>
      <c r="D282" s="84"/>
      <c r="E282" s="76"/>
      <c r="F282" s="76" t="str">
        <f>IF(E282='Tablas AR'!$B$4,1,IF('Análisis de Riesgos'!E282='Tablas AR'!$B$5,2,IF('Análisis de Riesgos'!E282='Tablas AR'!$B$6,3,"")))</f>
        <v/>
      </c>
      <c r="G282" s="76"/>
      <c r="H282" s="76" t="str">
        <f>IF(G282='Tablas AR'!$B$10,1,IF('Análisis de Riesgos'!G282='Tablas AR'!$B$11,2,IF('Análisis de Riesgos'!G282='Tablas AR'!$B$12,3,"")))</f>
        <v/>
      </c>
      <c r="I282" s="76">
        <f t="shared" si="1"/>
        <v>0</v>
      </c>
    </row>
    <row r="283" ht="14.25" customHeight="1">
      <c r="B283" s="84" t="str">
        <f t="array" ref="B283">IFERROR(INDEX(Activos!$B$3:$C$16, MATCH(C283,Activos!$B$3:$B$16),2),"")</f>
        <v/>
      </c>
      <c r="C283" s="84"/>
      <c r="D283" s="84"/>
      <c r="E283" s="76"/>
      <c r="F283" s="76" t="str">
        <f>IF(E283='Tablas AR'!$B$4,1,IF('Análisis de Riesgos'!E283='Tablas AR'!$B$5,2,IF('Análisis de Riesgos'!E283='Tablas AR'!$B$6,3,"")))</f>
        <v/>
      </c>
      <c r="G283" s="76"/>
      <c r="H283" s="76" t="str">
        <f>IF(G283='Tablas AR'!$B$10,1,IF('Análisis de Riesgos'!G283='Tablas AR'!$B$11,2,IF('Análisis de Riesgos'!G283='Tablas AR'!$B$12,3,"")))</f>
        <v/>
      </c>
      <c r="I283" s="76">
        <f t="shared" si="1"/>
        <v>0</v>
      </c>
    </row>
    <row r="284" ht="14.25" customHeight="1">
      <c r="B284" s="84" t="str">
        <f t="array" ref="B284">IFERROR(INDEX(Activos!$B$3:$C$16, MATCH(C284,Activos!$B$3:$B$16),2),"")</f>
        <v/>
      </c>
      <c r="C284" s="84"/>
      <c r="D284" s="84"/>
      <c r="E284" s="76"/>
      <c r="F284" s="76" t="str">
        <f>IF(E284='Tablas AR'!$B$4,1,IF('Análisis de Riesgos'!E284='Tablas AR'!$B$5,2,IF('Análisis de Riesgos'!E284='Tablas AR'!$B$6,3,"")))</f>
        <v/>
      </c>
      <c r="G284" s="76"/>
      <c r="H284" s="76" t="str">
        <f>IF(G284='Tablas AR'!$B$10,1,IF('Análisis de Riesgos'!G284='Tablas AR'!$B$11,2,IF('Análisis de Riesgos'!G284='Tablas AR'!$B$12,3,"")))</f>
        <v/>
      </c>
      <c r="I284" s="76">
        <f t="shared" si="1"/>
        <v>0</v>
      </c>
    </row>
    <row r="285" ht="14.25" customHeight="1">
      <c r="B285" s="84" t="str">
        <f t="array" ref="B285">IFERROR(INDEX(Activos!$B$3:$C$16, MATCH(C285,Activos!$B$3:$B$16),2),"")</f>
        <v/>
      </c>
      <c r="C285" s="84"/>
      <c r="D285" s="84"/>
      <c r="E285" s="76"/>
      <c r="F285" s="76" t="str">
        <f>IF(E285='Tablas AR'!$B$4,1,IF('Análisis de Riesgos'!E285='Tablas AR'!$B$5,2,IF('Análisis de Riesgos'!E285='Tablas AR'!$B$6,3,"")))</f>
        <v/>
      </c>
      <c r="G285" s="76"/>
      <c r="H285" s="76" t="str">
        <f>IF(G285='Tablas AR'!$B$10,1,IF('Análisis de Riesgos'!G285='Tablas AR'!$B$11,2,IF('Análisis de Riesgos'!G285='Tablas AR'!$B$12,3,"")))</f>
        <v/>
      </c>
      <c r="I285" s="76">
        <f t="shared" si="1"/>
        <v>0</v>
      </c>
    </row>
    <row r="286" ht="14.25" customHeight="1">
      <c r="B286" s="84" t="str">
        <f t="array" ref="B286">IFERROR(INDEX(Activos!$B$3:$C$16, MATCH(C286,Activos!$B$3:$B$16),2),"")</f>
        <v/>
      </c>
      <c r="C286" s="84"/>
      <c r="D286" s="84"/>
      <c r="E286" s="76"/>
      <c r="F286" s="76" t="str">
        <f>IF(E286='Tablas AR'!$B$4,1,IF('Análisis de Riesgos'!E286='Tablas AR'!$B$5,2,IF('Análisis de Riesgos'!E286='Tablas AR'!$B$6,3,"")))</f>
        <v/>
      </c>
      <c r="G286" s="76"/>
      <c r="H286" s="76" t="str">
        <f>IF(G286='Tablas AR'!$B$10,1,IF('Análisis de Riesgos'!G286='Tablas AR'!$B$11,2,IF('Análisis de Riesgos'!G286='Tablas AR'!$B$12,3,"")))</f>
        <v/>
      </c>
      <c r="I286" s="76">
        <f t="shared" si="1"/>
        <v>0</v>
      </c>
    </row>
    <row r="287" ht="14.25" customHeight="1">
      <c r="B287" s="84" t="str">
        <f t="array" ref="B287">IFERROR(INDEX(Activos!$B$3:$C$16, MATCH(C287,Activos!$B$3:$B$16),2),"")</f>
        <v/>
      </c>
      <c r="C287" s="84"/>
      <c r="D287" s="84"/>
      <c r="E287" s="76"/>
      <c r="F287" s="76" t="str">
        <f>IF(E287='Tablas AR'!$B$4,1,IF('Análisis de Riesgos'!E287='Tablas AR'!$B$5,2,IF('Análisis de Riesgos'!E287='Tablas AR'!$B$6,3,"")))</f>
        <v/>
      </c>
      <c r="G287" s="76"/>
      <c r="H287" s="76" t="str">
        <f>IF(G287='Tablas AR'!$B$10,1,IF('Análisis de Riesgos'!G287='Tablas AR'!$B$11,2,IF('Análisis de Riesgos'!G287='Tablas AR'!$B$12,3,"")))</f>
        <v/>
      </c>
      <c r="I287" s="76">
        <f t="shared" si="1"/>
        <v>0</v>
      </c>
    </row>
    <row r="288" ht="14.25" customHeight="1">
      <c r="B288" s="84" t="str">
        <f t="array" ref="B288">IFERROR(INDEX(Activos!$B$3:$C$16, MATCH(C288,Activos!$B$3:$B$16),2),"")</f>
        <v/>
      </c>
      <c r="C288" s="84"/>
      <c r="D288" s="84"/>
      <c r="E288" s="76"/>
      <c r="F288" s="76" t="str">
        <f>IF(E288='Tablas AR'!$B$4,1,IF('Análisis de Riesgos'!E288='Tablas AR'!$B$5,2,IF('Análisis de Riesgos'!E288='Tablas AR'!$B$6,3,"")))</f>
        <v/>
      </c>
      <c r="G288" s="76"/>
      <c r="H288" s="76" t="str">
        <f>IF(G288='Tablas AR'!$B$10,1,IF('Análisis de Riesgos'!G288='Tablas AR'!$B$11,2,IF('Análisis de Riesgos'!G288='Tablas AR'!$B$12,3,"")))</f>
        <v/>
      </c>
      <c r="I288" s="76">
        <f t="shared" si="1"/>
        <v>0</v>
      </c>
    </row>
    <row r="289" ht="14.25" customHeight="1">
      <c r="B289" s="84" t="str">
        <f t="array" ref="B289">IFERROR(INDEX(Activos!$B$3:$C$16, MATCH(C289,Activos!$B$3:$B$16),2),"")</f>
        <v/>
      </c>
      <c r="C289" s="84"/>
      <c r="D289" s="84"/>
      <c r="E289" s="76"/>
      <c r="F289" s="76" t="str">
        <f>IF(E289='Tablas AR'!$B$4,1,IF('Análisis de Riesgos'!E289='Tablas AR'!$B$5,2,IF('Análisis de Riesgos'!E289='Tablas AR'!$B$6,3,"")))</f>
        <v/>
      </c>
      <c r="G289" s="76"/>
      <c r="H289" s="76" t="str">
        <f>IF(G289='Tablas AR'!$B$10,1,IF('Análisis de Riesgos'!G289='Tablas AR'!$B$11,2,IF('Análisis de Riesgos'!G289='Tablas AR'!$B$12,3,"")))</f>
        <v/>
      </c>
      <c r="I289" s="76">
        <f t="shared" si="1"/>
        <v>0</v>
      </c>
    </row>
    <row r="290" ht="14.25" customHeight="1">
      <c r="B290" s="84" t="str">
        <f t="array" ref="B290">IFERROR(INDEX(Activos!$B$3:$C$16, MATCH(C290,Activos!$B$3:$B$16),2),"")</f>
        <v/>
      </c>
      <c r="C290" s="84"/>
      <c r="D290" s="84"/>
      <c r="E290" s="76"/>
      <c r="F290" s="76" t="str">
        <f>IF(E290='Tablas AR'!$B$4,1,IF('Análisis de Riesgos'!E290='Tablas AR'!$B$5,2,IF('Análisis de Riesgos'!E290='Tablas AR'!$B$6,3,"")))</f>
        <v/>
      </c>
      <c r="G290" s="76"/>
      <c r="H290" s="76" t="str">
        <f>IF(G290='Tablas AR'!$B$10,1,IF('Análisis de Riesgos'!G290='Tablas AR'!$B$11,2,IF('Análisis de Riesgos'!G290='Tablas AR'!$B$12,3,"")))</f>
        <v/>
      </c>
      <c r="I290" s="76">
        <f t="shared" si="1"/>
        <v>0</v>
      </c>
    </row>
    <row r="291" ht="14.25" customHeight="1">
      <c r="B291" s="84" t="str">
        <f t="array" ref="B291">IFERROR(INDEX(Activos!$B$3:$C$16, MATCH(C291,Activos!$B$3:$B$16),2),"")</f>
        <v/>
      </c>
      <c r="C291" s="84"/>
      <c r="D291" s="84"/>
      <c r="E291" s="76"/>
      <c r="F291" s="76" t="str">
        <f>IF(E291='Tablas AR'!$B$4,1,IF('Análisis de Riesgos'!E291='Tablas AR'!$B$5,2,IF('Análisis de Riesgos'!E291='Tablas AR'!$B$6,3,"")))</f>
        <v/>
      </c>
      <c r="G291" s="76"/>
      <c r="H291" s="76" t="str">
        <f>IF(G291='Tablas AR'!$B$10,1,IF('Análisis de Riesgos'!G291='Tablas AR'!$B$11,2,IF('Análisis de Riesgos'!G291='Tablas AR'!$B$12,3,"")))</f>
        <v/>
      </c>
      <c r="I291" s="76">
        <f t="shared" si="1"/>
        <v>0</v>
      </c>
    </row>
    <row r="292" ht="14.25" customHeight="1">
      <c r="B292" s="84" t="str">
        <f t="array" ref="B292">IFERROR(INDEX(Activos!$B$3:$C$16, MATCH(C292,Activos!$B$3:$B$16),2),"")</f>
        <v/>
      </c>
      <c r="C292" s="84"/>
      <c r="D292" s="84"/>
      <c r="E292" s="76"/>
      <c r="F292" s="76" t="str">
        <f>IF(E292='Tablas AR'!$B$4,1,IF('Análisis de Riesgos'!E292='Tablas AR'!$B$5,2,IF('Análisis de Riesgos'!E292='Tablas AR'!$B$6,3,"")))</f>
        <v/>
      </c>
      <c r="G292" s="76"/>
      <c r="H292" s="76" t="str">
        <f>IF(G292='Tablas AR'!$B$10,1,IF('Análisis de Riesgos'!G292='Tablas AR'!$B$11,2,IF('Análisis de Riesgos'!G292='Tablas AR'!$B$12,3,"")))</f>
        <v/>
      </c>
      <c r="I292" s="76">
        <f t="shared" si="1"/>
        <v>0</v>
      </c>
    </row>
    <row r="293" ht="14.25" customHeight="1">
      <c r="B293" s="84" t="str">
        <f t="array" ref="B293">IFERROR(INDEX(Activos!$B$3:$C$16, MATCH(C293,Activos!$B$3:$B$16),2),"")</f>
        <v/>
      </c>
      <c r="C293" s="84"/>
      <c r="D293" s="84"/>
      <c r="E293" s="76"/>
      <c r="F293" s="76" t="str">
        <f>IF(E293='Tablas AR'!$B$4,1,IF('Análisis de Riesgos'!E293='Tablas AR'!$B$5,2,IF('Análisis de Riesgos'!E293='Tablas AR'!$B$6,3,"")))</f>
        <v/>
      </c>
      <c r="G293" s="76"/>
      <c r="H293" s="76" t="str">
        <f>IF(G293='Tablas AR'!$B$10,1,IF('Análisis de Riesgos'!G293='Tablas AR'!$B$11,2,IF('Análisis de Riesgos'!G293='Tablas AR'!$B$12,3,"")))</f>
        <v/>
      </c>
      <c r="I293" s="76">
        <f t="shared" si="1"/>
        <v>0</v>
      </c>
    </row>
    <row r="294" ht="14.25" customHeight="1">
      <c r="B294" s="84" t="str">
        <f t="array" ref="B294">IFERROR(INDEX(Activos!$B$3:$C$16, MATCH(C294,Activos!$B$3:$B$16),2),"")</f>
        <v/>
      </c>
      <c r="C294" s="84"/>
      <c r="D294" s="84"/>
      <c r="E294" s="76"/>
      <c r="F294" s="76" t="str">
        <f>IF(E294='Tablas AR'!$B$4,1,IF('Análisis de Riesgos'!E294='Tablas AR'!$B$5,2,IF('Análisis de Riesgos'!E294='Tablas AR'!$B$6,3,"")))</f>
        <v/>
      </c>
      <c r="G294" s="76"/>
      <c r="H294" s="76" t="str">
        <f>IF(G294='Tablas AR'!$B$10,1,IF('Análisis de Riesgos'!G294='Tablas AR'!$B$11,2,IF('Análisis de Riesgos'!G294='Tablas AR'!$B$12,3,"")))</f>
        <v/>
      </c>
      <c r="I294" s="76">
        <f t="shared" si="1"/>
        <v>0</v>
      </c>
    </row>
    <row r="295" ht="14.25" customHeight="1">
      <c r="B295" s="84" t="str">
        <f t="array" ref="B295">IFERROR(INDEX(Activos!$B$3:$C$16, MATCH(C295,Activos!$B$3:$B$16),2),"")</f>
        <v/>
      </c>
      <c r="C295" s="84"/>
      <c r="D295" s="84"/>
      <c r="E295" s="76"/>
      <c r="F295" s="76" t="str">
        <f>IF(E295='Tablas AR'!$B$4,1,IF('Análisis de Riesgos'!E295='Tablas AR'!$B$5,2,IF('Análisis de Riesgos'!E295='Tablas AR'!$B$6,3,"")))</f>
        <v/>
      </c>
      <c r="G295" s="76"/>
      <c r="H295" s="76" t="str">
        <f>IF(G295='Tablas AR'!$B$10,1,IF('Análisis de Riesgos'!G295='Tablas AR'!$B$11,2,IF('Análisis de Riesgos'!G295='Tablas AR'!$B$12,3,"")))</f>
        <v/>
      </c>
      <c r="I295" s="76">
        <f t="shared" si="1"/>
        <v>0</v>
      </c>
    </row>
    <row r="296" ht="14.25" customHeight="1">
      <c r="B296" s="84" t="str">
        <f t="array" ref="B296">IFERROR(INDEX(Activos!$B$3:$C$16, MATCH(C296,Activos!$B$3:$B$16),2),"")</f>
        <v/>
      </c>
      <c r="C296" s="84"/>
      <c r="D296" s="84"/>
      <c r="E296" s="76"/>
      <c r="F296" s="76" t="str">
        <f>IF(E296='Tablas AR'!$B$4,1,IF('Análisis de Riesgos'!E296='Tablas AR'!$B$5,2,IF('Análisis de Riesgos'!E296='Tablas AR'!$B$6,3,"")))</f>
        <v/>
      </c>
      <c r="G296" s="76"/>
      <c r="H296" s="76" t="str">
        <f>IF(G296='Tablas AR'!$B$10,1,IF('Análisis de Riesgos'!G296='Tablas AR'!$B$11,2,IF('Análisis de Riesgos'!G296='Tablas AR'!$B$12,3,"")))</f>
        <v/>
      </c>
      <c r="I296" s="76">
        <f t="shared" si="1"/>
        <v>0</v>
      </c>
    </row>
    <row r="297" ht="14.25" customHeight="1">
      <c r="B297" s="84" t="str">
        <f t="array" ref="B297">IFERROR(INDEX(Activos!$B$3:$C$16, MATCH(C297,Activos!$B$3:$B$16),2),"")</f>
        <v/>
      </c>
      <c r="C297" s="84"/>
      <c r="D297" s="84"/>
      <c r="E297" s="76"/>
      <c r="F297" s="76" t="str">
        <f>IF(E297='Tablas AR'!$B$4,1,IF('Análisis de Riesgos'!E297='Tablas AR'!$B$5,2,IF('Análisis de Riesgos'!E297='Tablas AR'!$B$6,3,"")))</f>
        <v/>
      </c>
      <c r="G297" s="76"/>
      <c r="H297" s="76" t="str">
        <f>IF(G297='Tablas AR'!$B$10,1,IF('Análisis de Riesgos'!G297='Tablas AR'!$B$11,2,IF('Análisis de Riesgos'!G297='Tablas AR'!$B$12,3,"")))</f>
        <v/>
      </c>
      <c r="I297" s="76">
        <f t="shared" si="1"/>
        <v>0</v>
      </c>
    </row>
    <row r="298" ht="14.25" customHeight="1">
      <c r="B298" s="84" t="str">
        <f t="array" ref="B298">IFERROR(INDEX(Activos!$B$3:$C$16, MATCH(C298,Activos!$B$3:$B$16),2),"")</f>
        <v/>
      </c>
      <c r="C298" s="84"/>
      <c r="D298" s="84"/>
      <c r="E298" s="76"/>
      <c r="F298" s="76" t="str">
        <f>IF(E298='Tablas AR'!$B$4,1,IF('Análisis de Riesgos'!E298='Tablas AR'!$B$5,2,IF('Análisis de Riesgos'!E298='Tablas AR'!$B$6,3,"")))</f>
        <v/>
      </c>
      <c r="G298" s="76"/>
      <c r="H298" s="76" t="str">
        <f>IF(G298='Tablas AR'!$B$10,1,IF('Análisis de Riesgos'!G298='Tablas AR'!$B$11,2,IF('Análisis de Riesgos'!G298='Tablas AR'!$B$12,3,"")))</f>
        <v/>
      </c>
      <c r="I298" s="76">
        <f t="shared" si="1"/>
        <v>0</v>
      </c>
    </row>
    <row r="299" ht="14.25" customHeight="1">
      <c r="B299" s="84" t="str">
        <f t="array" ref="B299">IFERROR(INDEX(Activos!$B$3:$C$16, MATCH(C299,Activos!$B$3:$B$16),2),"")</f>
        <v/>
      </c>
      <c r="C299" s="84"/>
      <c r="D299" s="84"/>
      <c r="E299" s="76"/>
      <c r="F299" s="76" t="str">
        <f>IF(E299='Tablas AR'!$B$4,1,IF('Análisis de Riesgos'!E299='Tablas AR'!$B$5,2,IF('Análisis de Riesgos'!E299='Tablas AR'!$B$6,3,"")))</f>
        <v/>
      </c>
      <c r="G299" s="76"/>
      <c r="H299" s="76" t="str">
        <f>IF(G299='Tablas AR'!$B$10,1,IF('Análisis de Riesgos'!G299='Tablas AR'!$B$11,2,IF('Análisis de Riesgos'!G299='Tablas AR'!$B$12,3,"")))</f>
        <v/>
      </c>
      <c r="I299" s="76">
        <f t="shared" si="1"/>
        <v>0</v>
      </c>
    </row>
    <row r="300" ht="14.25" customHeight="1">
      <c r="B300" s="84" t="str">
        <f t="array" ref="B300">IFERROR(INDEX(Activos!$B$3:$C$16, MATCH(C300,Activos!$B$3:$B$16),2),"")</f>
        <v/>
      </c>
      <c r="C300" s="84"/>
      <c r="D300" s="84"/>
      <c r="E300" s="76"/>
      <c r="F300" s="76" t="str">
        <f>IF(E300='Tablas AR'!$B$4,1,IF('Análisis de Riesgos'!E300='Tablas AR'!$B$5,2,IF('Análisis de Riesgos'!E300='Tablas AR'!$B$6,3,"")))</f>
        <v/>
      </c>
      <c r="G300" s="76"/>
      <c r="H300" s="76" t="str">
        <f>IF(G300='Tablas AR'!$B$10,1,IF('Análisis de Riesgos'!G300='Tablas AR'!$B$11,2,IF('Análisis de Riesgos'!G300='Tablas AR'!$B$12,3,"")))</f>
        <v/>
      </c>
      <c r="I300" s="76">
        <f t="shared" si="1"/>
        <v>0</v>
      </c>
    </row>
    <row r="301" ht="14.25" customHeight="1">
      <c r="B301" s="84" t="str">
        <f t="array" ref="B301">IFERROR(INDEX(Activos!$B$3:$C$16, MATCH(C301,Activos!$B$3:$B$16),2),"")</f>
        <v/>
      </c>
      <c r="C301" s="84"/>
      <c r="D301" s="84"/>
      <c r="E301" s="76"/>
      <c r="F301" s="76" t="str">
        <f>IF(E301='Tablas AR'!$B$4,1,IF('Análisis de Riesgos'!E301='Tablas AR'!$B$5,2,IF('Análisis de Riesgos'!E301='Tablas AR'!$B$6,3,"")))</f>
        <v/>
      </c>
      <c r="G301" s="76"/>
      <c r="H301" s="76" t="str">
        <f>IF(G301='Tablas AR'!$B$10,1,IF('Análisis de Riesgos'!G301='Tablas AR'!$B$11,2,IF('Análisis de Riesgos'!G301='Tablas AR'!$B$12,3,"")))</f>
        <v/>
      </c>
      <c r="I301" s="76">
        <f t="shared" si="1"/>
        <v>0</v>
      </c>
    </row>
    <row r="302" ht="14.25" customHeight="1">
      <c r="B302" s="84" t="str">
        <f t="array" ref="B302">IFERROR(INDEX(Activos!$B$3:$C$16, MATCH(C302,Activos!$B$3:$B$16),2),"")</f>
        <v/>
      </c>
      <c r="C302" s="84"/>
      <c r="D302" s="84"/>
      <c r="E302" s="76"/>
      <c r="F302" s="76" t="str">
        <f>IF(E302='Tablas AR'!$B$4,1,IF('Análisis de Riesgos'!E302='Tablas AR'!$B$5,2,IF('Análisis de Riesgos'!E302='Tablas AR'!$B$6,3,"")))</f>
        <v/>
      </c>
      <c r="G302" s="76"/>
      <c r="H302" s="76" t="str">
        <f>IF(G302='Tablas AR'!$B$10,1,IF('Análisis de Riesgos'!G302='Tablas AR'!$B$11,2,IF('Análisis de Riesgos'!G302='Tablas AR'!$B$12,3,"")))</f>
        <v/>
      </c>
      <c r="I302" s="76">
        <f t="shared" si="1"/>
        <v>0</v>
      </c>
    </row>
    <row r="303" ht="14.25" customHeight="1">
      <c r="B303" s="84" t="str">
        <f t="array" ref="B303">IFERROR(INDEX(Activos!$B$3:$C$16, MATCH(C303,Activos!$B$3:$B$16),2),"")</f>
        <v/>
      </c>
      <c r="C303" s="84"/>
      <c r="D303" s="84"/>
      <c r="E303" s="76"/>
      <c r="F303" s="76" t="str">
        <f>IF(E303='Tablas AR'!$B$4,1,IF('Análisis de Riesgos'!E303='Tablas AR'!$B$5,2,IF('Análisis de Riesgos'!E303='Tablas AR'!$B$6,3,"")))</f>
        <v/>
      </c>
      <c r="G303" s="76"/>
      <c r="H303" s="76" t="str">
        <f>IF(G303='Tablas AR'!$B$10,1,IF('Análisis de Riesgos'!G303='Tablas AR'!$B$11,2,IF('Análisis de Riesgos'!G303='Tablas AR'!$B$12,3,"")))</f>
        <v/>
      </c>
      <c r="I303" s="76">
        <f t="shared" si="1"/>
        <v>0</v>
      </c>
    </row>
    <row r="304" ht="14.25" customHeight="1">
      <c r="B304" s="84" t="str">
        <f t="array" ref="B304">IFERROR(INDEX(Activos!$B$3:$C$16, MATCH(C304,Activos!$B$3:$B$16),2),"")</f>
        <v/>
      </c>
      <c r="C304" s="84"/>
      <c r="D304" s="84"/>
      <c r="E304" s="76"/>
      <c r="F304" s="76" t="str">
        <f>IF(E304='Tablas AR'!$B$4,1,IF('Análisis de Riesgos'!E304='Tablas AR'!$B$5,2,IF('Análisis de Riesgos'!E304='Tablas AR'!$B$6,3,"")))</f>
        <v/>
      </c>
      <c r="G304" s="76"/>
      <c r="H304" s="76" t="str">
        <f>IF(G304='Tablas AR'!$B$10,1,IF('Análisis de Riesgos'!G304='Tablas AR'!$B$11,2,IF('Análisis de Riesgos'!G304='Tablas AR'!$B$12,3,"")))</f>
        <v/>
      </c>
      <c r="I304" s="76">
        <f t="shared" si="1"/>
        <v>0</v>
      </c>
    </row>
    <row r="305" ht="14.25" customHeight="1">
      <c r="B305" s="84" t="str">
        <f t="array" ref="B305">IFERROR(INDEX(Activos!$B$3:$C$16, MATCH(C305,Activos!$B$3:$B$16),2),"")</f>
        <v/>
      </c>
      <c r="C305" s="84"/>
      <c r="D305" s="84"/>
      <c r="E305" s="76"/>
      <c r="F305" s="76" t="str">
        <f>IF(E305='Tablas AR'!$B$4,1,IF('Análisis de Riesgos'!E305='Tablas AR'!$B$5,2,IF('Análisis de Riesgos'!E305='Tablas AR'!$B$6,3,"")))</f>
        <v/>
      </c>
      <c r="G305" s="76"/>
      <c r="H305" s="76" t="str">
        <f>IF(G305='Tablas AR'!$B$10,1,IF('Análisis de Riesgos'!G305='Tablas AR'!$B$11,2,IF('Análisis de Riesgos'!G305='Tablas AR'!$B$12,3,"")))</f>
        <v/>
      </c>
      <c r="I305" s="76">
        <f t="shared" si="1"/>
        <v>0</v>
      </c>
    </row>
    <row r="306" ht="14.25" customHeight="1">
      <c r="B306" s="84" t="str">
        <f t="array" ref="B306">IFERROR(INDEX(Activos!$B$3:$C$16, MATCH(C306,Activos!$B$3:$B$16),2),"")</f>
        <v/>
      </c>
      <c r="C306" s="84"/>
      <c r="D306" s="84"/>
      <c r="E306" s="76"/>
      <c r="F306" s="76" t="str">
        <f>IF(E306='Tablas AR'!$B$4,1,IF('Análisis de Riesgos'!E306='Tablas AR'!$B$5,2,IF('Análisis de Riesgos'!E306='Tablas AR'!$B$6,3,"")))</f>
        <v/>
      </c>
      <c r="G306" s="76"/>
      <c r="H306" s="76" t="str">
        <f>IF(G306='Tablas AR'!$B$10,1,IF('Análisis de Riesgos'!G306='Tablas AR'!$B$11,2,IF('Análisis de Riesgos'!G306='Tablas AR'!$B$12,3,"")))</f>
        <v/>
      </c>
      <c r="I306" s="76">
        <f t="shared" si="1"/>
        <v>0</v>
      </c>
    </row>
    <row r="307" ht="14.25" customHeight="1">
      <c r="B307" s="84" t="str">
        <f t="array" ref="B307">IFERROR(INDEX(Activos!$B$3:$C$16, MATCH(C307,Activos!$B$3:$B$16),2),"")</f>
        <v/>
      </c>
      <c r="C307" s="84"/>
      <c r="D307" s="84"/>
      <c r="E307" s="76"/>
      <c r="F307" s="76" t="str">
        <f>IF(E307='Tablas AR'!$B$4,1,IF('Análisis de Riesgos'!E307='Tablas AR'!$B$5,2,IF('Análisis de Riesgos'!E307='Tablas AR'!$B$6,3,"")))</f>
        <v/>
      </c>
      <c r="G307" s="76"/>
      <c r="H307" s="76" t="str">
        <f>IF(G307='Tablas AR'!$B$10,1,IF('Análisis de Riesgos'!G307='Tablas AR'!$B$11,2,IF('Análisis de Riesgos'!G307='Tablas AR'!$B$12,3,"")))</f>
        <v/>
      </c>
      <c r="I307" s="76">
        <f t="shared" si="1"/>
        <v>0</v>
      </c>
    </row>
    <row r="308" ht="14.25" customHeight="1">
      <c r="B308" s="84" t="str">
        <f t="array" ref="B308">IFERROR(INDEX(Activos!$B$3:$C$16, MATCH(C308,Activos!$B$3:$B$16),2),"")</f>
        <v/>
      </c>
      <c r="C308" s="84"/>
      <c r="D308" s="84"/>
      <c r="E308" s="76"/>
      <c r="F308" s="76" t="str">
        <f>IF(E308='Tablas AR'!$B$4,1,IF('Análisis de Riesgos'!E308='Tablas AR'!$B$5,2,IF('Análisis de Riesgos'!E308='Tablas AR'!$B$6,3,"")))</f>
        <v/>
      </c>
      <c r="G308" s="76"/>
      <c r="H308" s="76" t="str">
        <f>IF(G308='Tablas AR'!$B$10,1,IF('Análisis de Riesgos'!G308='Tablas AR'!$B$11,2,IF('Análisis de Riesgos'!G308='Tablas AR'!$B$12,3,"")))</f>
        <v/>
      </c>
      <c r="I308" s="76">
        <f t="shared" si="1"/>
        <v>0</v>
      </c>
    </row>
    <row r="309" ht="14.25" customHeight="1">
      <c r="B309" s="84" t="str">
        <f t="array" ref="B309">IFERROR(INDEX(Activos!$B$3:$C$16, MATCH(C309,Activos!$B$3:$B$16),2),"")</f>
        <v/>
      </c>
      <c r="C309" s="84"/>
      <c r="D309" s="84"/>
      <c r="E309" s="76"/>
      <c r="F309" s="76" t="str">
        <f>IF(E309='Tablas AR'!$B$4,1,IF('Análisis de Riesgos'!E309='Tablas AR'!$B$5,2,IF('Análisis de Riesgos'!E309='Tablas AR'!$B$6,3,"")))</f>
        <v/>
      </c>
      <c r="G309" s="76"/>
      <c r="H309" s="76" t="str">
        <f>IF(G309='Tablas AR'!$B$10,1,IF('Análisis de Riesgos'!G309='Tablas AR'!$B$11,2,IF('Análisis de Riesgos'!G309='Tablas AR'!$B$12,3,"")))</f>
        <v/>
      </c>
      <c r="I309" s="76">
        <f t="shared" si="1"/>
        <v>0</v>
      </c>
    </row>
    <row r="310" ht="14.25" customHeight="1">
      <c r="B310" s="84" t="str">
        <f t="array" ref="B310">IFERROR(INDEX(Activos!$B$3:$C$16, MATCH(C310,Activos!$B$3:$B$16),2),"")</f>
        <v/>
      </c>
      <c r="C310" s="84"/>
      <c r="D310" s="84"/>
      <c r="E310" s="76"/>
      <c r="F310" s="76" t="str">
        <f>IF(E310='Tablas AR'!$B$4,1,IF('Análisis de Riesgos'!E310='Tablas AR'!$B$5,2,IF('Análisis de Riesgos'!E310='Tablas AR'!$B$6,3,"")))</f>
        <v/>
      </c>
      <c r="G310" s="76"/>
      <c r="H310" s="76" t="str">
        <f>IF(G310='Tablas AR'!$B$10,1,IF('Análisis de Riesgos'!G310='Tablas AR'!$B$11,2,IF('Análisis de Riesgos'!G310='Tablas AR'!$B$12,3,"")))</f>
        <v/>
      </c>
      <c r="I310" s="76">
        <f t="shared" si="1"/>
        <v>0</v>
      </c>
    </row>
    <row r="311" ht="14.25" customHeight="1">
      <c r="B311" s="84" t="str">
        <f t="array" ref="B311">IFERROR(INDEX(Activos!$B$3:$C$16, MATCH(C311,Activos!$B$3:$B$16),2),"")</f>
        <v/>
      </c>
      <c r="C311" s="84"/>
      <c r="D311" s="84"/>
      <c r="E311" s="76"/>
      <c r="F311" s="76" t="str">
        <f>IF(E311='Tablas AR'!$B$4,1,IF('Análisis de Riesgos'!E311='Tablas AR'!$B$5,2,IF('Análisis de Riesgos'!E311='Tablas AR'!$B$6,3,"")))</f>
        <v/>
      </c>
      <c r="G311" s="76"/>
      <c r="H311" s="76" t="str">
        <f>IF(G311='Tablas AR'!$B$10,1,IF('Análisis de Riesgos'!G311='Tablas AR'!$B$11,2,IF('Análisis de Riesgos'!G311='Tablas AR'!$B$12,3,"")))</f>
        <v/>
      </c>
      <c r="I311" s="76">
        <f t="shared" si="1"/>
        <v>0</v>
      </c>
    </row>
    <row r="312" ht="14.25" customHeight="1">
      <c r="B312" s="84" t="str">
        <f t="array" ref="B312">IFERROR(INDEX(Activos!$B$3:$C$16, MATCH(C312,Activos!$B$3:$B$16),2),"")</f>
        <v/>
      </c>
      <c r="C312" s="84"/>
      <c r="D312" s="84"/>
      <c r="E312" s="76"/>
      <c r="F312" s="76" t="str">
        <f>IF(E312='Tablas AR'!$B$4,1,IF('Análisis de Riesgos'!E312='Tablas AR'!$B$5,2,IF('Análisis de Riesgos'!E312='Tablas AR'!$B$6,3,"")))</f>
        <v/>
      </c>
      <c r="G312" s="76"/>
      <c r="H312" s="76" t="str">
        <f>IF(G312='Tablas AR'!$B$10,1,IF('Análisis de Riesgos'!G312='Tablas AR'!$B$11,2,IF('Análisis de Riesgos'!G312='Tablas AR'!$B$12,3,"")))</f>
        <v/>
      </c>
      <c r="I312" s="76">
        <f t="shared" si="1"/>
        <v>0</v>
      </c>
    </row>
    <row r="313" ht="14.25" customHeight="1">
      <c r="B313" s="84" t="str">
        <f t="array" ref="B313">IFERROR(INDEX(Activos!$B$3:$C$16, MATCH(C313,Activos!$B$3:$B$16),2),"")</f>
        <v/>
      </c>
      <c r="C313" s="84"/>
      <c r="D313" s="84"/>
      <c r="E313" s="76"/>
      <c r="F313" s="76" t="str">
        <f>IF(E313='Tablas AR'!$B$4,1,IF('Análisis de Riesgos'!E313='Tablas AR'!$B$5,2,IF('Análisis de Riesgos'!E313='Tablas AR'!$B$6,3,"")))</f>
        <v/>
      </c>
      <c r="G313" s="76"/>
      <c r="H313" s="76" t="str">
        <f>IF(G313='Tablas AR'!$B$10,1,IF('Análisis de Riesgos'!G313='Tablas AR'!$B$11,2,IF('Análisis de Riesgos'!G313='Tablas AR'!$B$12,3,"")))</f>
        <v/>
      </c>
      <c r="I313" s="76">
        <f t="shared" si="1"/>
        <v>0</v>
      </c>
    </row>
    <row r="314" ht="14.25" customHeight="1">
      <c r="B314" s="84" t="str">
        <f t="array" ref="B314">IFERROR(INDEX(Activos!$B$3:$C$16, MATCH(C314,Activos!$B$3:$B$16),2),"")</f>
        <v/>
      </c>
      <c r="C314" s="84"/>
      <c r="D314" s="84"/>
      <c r="E314" s="76"/>
      <c r="F314" s="76" t="str">
        <f>IF(E314='Tablas AR'!$B$4,1,IF('Análisis de Riesgos'!E314='Tablas AR'!$B$5,2,IF('Análisis de Riesgos'!E314='Tablas AR'!$B$6,3,"")))</f>
        <v/>
      </c>
      <c r="G314" s="76"/>
      <c r="H314" s="76" t="str">
        <f>IF(G314='Tablas AR'!$B$10,1,IF('Análisis de Riesgos'!G314='Tablas AR'!$B$11,2,IF('Análisis de Riesgos'!G314='Tablas AR'!$B$12,3,"")))</f>
        <v/>
      </c>
      <c r="I314" s="76">
        <f t="shared" si="1"/>
        <v>0</v>
      </c>
    </row>
    <row r="315" ht="14.25" customHeight="1">
      <c r="B315" s="84" t="str">
        <f t="array" ref="B315">IFERROR(INDEX(Activos!$B$3:$C$16, MATCH(C315,Activos!$B$3:$B$16),2),"")</f>
        <v/>
      </c>
      <c r="C315" s="84"/>
      <c r="D315" s="84"/>
      <c r="E315" s="76"/>
      <c r="F315" s="76" t="str">
        <f>IF(E315='Tablas AR'!$B$4,1,IF('Análisis de Riesgos'!E315='Tablas AR'!$B$5,2,IF('Análisis de Riesgos'!E315='Tablas AR'!$B$6,3,"")))</f>
        <v/>
      </c>
      <c r="G315" s="76"/>
      <c r="H315" s="76" t="str">
        <f>IF(G315='Tablas AR'!$B$10,1,IF('Análisis de Riesgos'!G315='Tablas AR'!$B$11,2,IF('Análisis de Riesgos'!G315='Tablas AR'!$B$12,3,"")))</f>
        <v/>
      </c>
      <c r="I315" s="76">
        <f t="shared" si="1"/>
        <v>0</v>
      </c>
    </row>
    <row r="316" ht="14.25" customHeight="1">
      <c r="B316" s="84" t="str">
        <f t="array" ref="B316">IFERROR(INDEX(Activos!$B$3:$C$16, MATCH(C316,Activos!$B$3:$B$16),2),"")</f>
        <v/>
      </c>
      <c r="C316" s="84"/>
      <c r="D316" s="84"/>
      <c r="E316" s="76"/>
      <c r="F316" s="76" t="str">
        <f>IF(E316='Tablas AR'!$B$4,1,IF('Análisis de Riesgos'!E316='Tablas AR'!$B$5,2,IF('Análisis de Riesgos'!E316='Tablas AR'!$B$6,3,"")))</f>
        <v/>
      </c>
      <c r="G316" s="76"/>
      <c r="H316" s="76" t="str">
        <f>IF(G316='Tablas AR'!$B$10,1,IF('Análisis de Riesgos'!G316='Tablas AR'!$B$11,2,IF('Análisis de Riesgos'!G316='Tablas AR'!$B$12,3,"")))</f>
        <v/>
      </c>
      <c r="I316" s="76">
        <f t="shared" si="1"/>
        <v>0</v>
      </c>
    </row>
    <row r="317" ht="14.25" customHeight="1">
      <c r="B317" s="84" t="str">
        <f t="array" ref="B317">IFERROR(INDEX(Activos!$B$3:$C$16, MATCH(C317,Activos!$B$3:$B$16),2),"")</f>
        <v/>
      </c>
      <c r="C317" s="84"/>
      <c r="D317" s="84"/>
      <c r="E317" s="76"/>
      <c r="F317" s="76" t="str">
        <f>IF(E317='Tablas AR'!$B$4,1,IF('Análisis de Riesgos'!E317='Tablas AR'!$B$5,2,IF('Análisis de Riesgos'!E317='Tablas AR'!$B$6,3,"")))</f>
        <v/>
      </c>
      <c r="G317" s="76"/>
      <c r="H317" s="76" t="str">
        <f>IF(G317='Tablas AR'!$B$10,1,IF('Análisis de Riesgos'!G317='Tablas AR'!$B$11,2,IF('Análisis de Riesgos'!G317='Tablas AR'!$B$12,3,"")))</f>
        <v/>
      </c>
      <c r="I317" s="76">
        <f t="shared" si="1"/>
        <v>0</v>
      </c>
    </row>
    <row r="318" ht="14.25" customHeight="1">
      <c r="B318" s="84" t="str">
        <f t="array" ref="B318">IFERROR(INDEX(Activos!$B$3:$C$16, MATCH(C318,Activos!$B$3:$B$16),2),"")</f>
        <v/>
      </c>
      <c r="C318" s="84"/>
      <c r="D318" s="84"/>
      <c r="E318" s="76"/>
      <c r="F318" s="76" t="str">
        <f>IF(E318='Tablas AR'!$B$4,1,IF('Análisis de Riesgos'!E318='Tablas AR'!$B$5,2,IF('Análisis de Riesgos'!E318='Tablas AR'!$B$6,3,"")))</f>
        <v/>
      </c>
      <c r="G318" s="76"/>
      <c r="H318" s="76" t="str">
        <f>IF(G318='Tablas AR'!$B$10,1,IF('Análisis de Riesgos'!G318='Tablas AR'!$B$11,2,IF('Análisis de Riesgos'!G318='Tablas AR'!$B$12,3,"")))</f>
        <v/>
      </c>
      <c r="I318" s="76">
        <f t="shared" si="1"/>
        <v>0</v>
      </c>
    </row>
    <row r="319" ht="14.25" customHeight="1">
      <c r="B319" s="84" t="str">
        <f t="array" ref="B319">IFERROR(INDEX(Activos!$B$3:$C$16, MATCH(C319,Activos!$B$3:$B$16),2),"")</f>
        <v/>
      </c>
      <c r="C319" s="84"/>
      <c r="D319" s="84"/>
      <c r="E319" s="76"/>
      <c r="F319" s="76" t="str">
        <f>IF(E319='Tablas AR'!$B$4,1,IF('Análisis de Riesgos'!E319='Tablas AR'!$B$5,2,IF('Análisis de Riesgos'!E319='Tablas AR'!$B$6,3,"")))</f>
        <v/>
      </c>
      <c r="G319" s="76"/>
      <c r="H319" s="76" t="str">
        <f>IF(G319='Tablas AR'!$B$10,1,IF('Análisis de Riesgos'!G319='Tablas AR'!$B$11,2,IF('Análisis de Riesgos'!G319='Tablas AR'!$B$12,3,"")))</f>
        <v/>
      </c>
      <c r="I319" s="76">
        <f t="shared" si="1"/>
        <v>0</v>
      </c>
    </row>
    <row r="320" ht="14.25" customHeight="1">
      <c r="B320" s="84" t="str">
        <f t="array" ref="B320">IFERROR(INDEX(Activos!$B$3:$C$16, MATCH(C320,Activos!$B$3:$B$16),2),"")</f>
        <v/>
      </c>
      <c r="C320" s="84"/>
      <c r="D320" s="84"/>
      <c r="E320" s="76"/>
      <c r="F320" s="76" t="str">
        <f>IF(E320='Tablas AR'!$B$4,1,IF('Análisis de Riesgos'!E320='Tablas AR'!$B$5,2,IF('Análisis de Riesgos'!E320='Tablas AR'!$B$6,3,"")))</f>
        <v/>
      </c>
      <c r="G320" s="76"/>
      <c r="H320" s="76" t="str">
        <f>IF(G320='Tablas AR'!$B$10,1,IF('Análisis de Riesgos'!G320='Tablas AR'!$B$11,2,IF('Análisis de Riesgos'!G320='Tablas AR'!$B$12,3,"")))</f>
        <v/>
      </c>
      <c r="I320" s="76">
        <f t="shared" si="1"/>
        <v>0</v>
      </c>
    </row>
    <row r="321" ht="14.25" customHeight="1">
      <c r="B321" s="84" t="str">
        <f t="array" ref="B321">IFERROR(INDEX(Activos!$B$3:$C$16, MATCH(C321,Activos!$B$3:$B$16),2),"")</f>
        <v/>
      </c>
      <c r="C321" s="84"/>
      <c r="D321" s="84"/>
      <c r="E321" s="76"/>
      <c r="F321" s="76" t="str">
        <f>IF(E321='Tablas AR'!$B$4,1,IF('Análisis de Riesgos'!E321='Tablas AR'!$B$5,2,IF('Análisis de Riesgos'!E321='Tablas AR'!$B$6,3,"")))</f>
        <v/>
      </c>
      <c r="G321" s="76"/>
      <c r="H321" s="76" t="str">
        <f>IF(G321='Tablas AR'!$B$10,1,IF('Análisis de Riesgos'!G321='Tablas AR'!$B$11,2,IF('Análisis de Riesgos'!G321='Tablas AR'!$B$12,3,"")))</f>
        <v/>
      </c>
      <c r="I321" s="76">
        <f t="shared" si="1"/>
        <v>0</v>
      </c>
    </row>
    <row r="322" ht="14.25" customHeight="1">
      <c r="B322" s="84" t="str">
        <f t="array" ref="B322">IFERROR(INDEX(Activos!$B$3:$C$16, MATCH(C322,Activos!$B$3:$B$16),2),"")</f>
        <v/>
      </c>
      <c r="C322" s="84"/>
      <c r="D322" s="84"/>
      <c r="E322" s="76"/>
      <c r="F322" s="76" t="str">
        <f>IF(E322='Tablas AR'!$B$4,1,IF('Análisis de Riesgos'!E322='Tablas AR'!$B$5,2,IF('Análisis de Riesgos'!E322='Tablas AR'!$B$6,3,"")))</f>
        <v/>
      </c>
      <c r="G322" s="76"/>
      <c r="H322" s="76" t="str">
        <f>IF(G322='Tablas AR'!$B$10,1,IF('Análisis de Riesgos'!G322='Tablas AR'!$B$11,2,IF('Análisis de Riesgos'!G322='Tablas AR'!$B$12,3,"")))</f>
        <v/>
      </c>
      <c r="I322" s="76">
        <f t="shared" si="1"/>
        <v>0</v>
      </c>
    </row>
    <row r="323" ht="14.25" customHeight="1">
      <c r="B323" s="84" t="str">
        <f t="array" ref="B323">IFERROR(INDEX(Activos!$B$3:$C$16, MATCH(C323,Activos!$B$3:$B$16),2),"")</f>
        <v/>
      </c>
      <c r="C323" s="84"/>
      <c r="D323" s="84"/>
      <c r="E323" s="76"/>
      <c r="F323" s="76" t="str">
        <f>IF(E323='Tablas AR'!$B$4,1,IF('Análisis de Riesgos'!E323='Tablas AR'!$B$5,2,IF('Análisis de Riesgos'!E323='Tablas AR'!$B$6,3,"")))</f>
        <v/>
      </c>
      <c r="G323" s="76"/>
      <c r="H323" s="76" t="str">
        <f>IF(G323='Tablas AR'!$B$10,1,IF('Análisis de Riesgos'!G323='Tablas AR'!$B$11,2,IF('Análisis de Riesgos'!G323='Tablas AR'!$B$12,3,"")))</f>
        <v/>
      </c>
      <c r="I323" s="76">
        <f t="shared" si="1"/>
        <v>0</v>
      </c>
    </row>
    <row r="324" ht="14.25" customHeight="1">
      <c r="B324" s="84" t="str">
        <f t="array" ref="B324">IFERROR(INDEX(Activos!$B$3:$C$16, MATCH(C324,Activos!$B$3:$B$16),2),"")</f>
        <v/>
      </c>
      <c r="C324" s="84"/>
      <c r="D324" s="84"/>
      <c r="E324" s="76"/>
      <c r="F324" s="76" t="str">
        <f>IF(E324='Tablas AR'!$B$4,1,IF('Análisis de Riesgos'!E324='Tablas AR'!$B$5,2,IF('Análisis de Riesgos'!E324='Tablas AR'!$B$6,3,"")))</f>
        <v/>
      </c>
      <c r="G324" s="76"/>
      <c r="H324" s="76" t="str">
        <f>IF(G324='Tablas AR'!$B$10,1,IF('Análisis de Riesgos'!G324='Tablas AR'!$B$11,2,IF('Análisis de Riesgos'!G324='Tablas AR'!$B$12,3,"")))</f>
        <v/>
      </c>
      <c r="I324" s="76">
        <f t="shared" si="1"/>
        <v>0</v>
      </c>
    </row>
    <row r="325" ht="14.25" customHeight="1">
      <c r="B325" s="84" t="str">
        <f t="array" ref="B325">IFERROR(INDEX(Activos!$B$3:$C$16, MATCH(C325,Activos!$B$3:$B$16),2),"")</f>
        <v/>
      </c>
      <c r="C325" s="84"/>
      <c r="D325" s="84"/>
      <c r="E325" s="76"/>
      <c r="F325" s="76" t="str">
        <f>IF(E325='Tablas AR'!$B$4,1,IF('Análisis de Riesgos'!E325='Tablas AR'!$B$5,2,IF('Análisis de Riesgos'!E325='Tablas AR'!$B$6,3,"")))</f>
        <v/>
      </c>
      <c r="G325" s="76"/>
      <c r="H325" s="76" t="str">
        <f>IF(G325='Tablas AR'!$B$10,1,IF('Análisis de Riesgos'!G325='Tablas AR'!$B$11,2,IF('Análisis de Riesgos'!G325='Tablas AR'!$B$12,3,"")))</f>
        <v/>
      </c>
      <c r="I325" s="76">
        <f t="shared" si="1"/>
        <v>0</v>
      </c>
    </row>
    <row r="326" ht="14.25" customHeight="1">
      <c r="B326" s="84" t="str">
        <f t="array" ref="B326">IFERROR(INDEX(Activos!$B$3:$C$16, MATCH(C326,Activos!$B$3:$B$16),2),"")</f>
        <v/>
      </c>
      <c r="C326" s="84"/>
      <c r="D326" s="84"/>
      <c r="E326" s="76"/>
      <c r="F326" s="76" t="str">
        <f>IF(E326='Tablas AR'!$B$4,1,IF('Análisis de Riesgos'!E326='Tablas AR'!$B$5,2,IF('Análisis de Riesgos'!E326='Tablas AR'!$B$6,3,"")))</f>
        <v/>
      </c>
      <c r="G326" s="76"/>
      <c r="H326" s="76" t="str">
        <f>IF(G326='Tablas AR'!$B$10,1,IF('Análisis de Riesgos'!G326='Tablas AR'!$B$11,2,IF('Análisis de Riesgos'!G326='Tablas AR'!$B$12,3,"")))</f>
        <v/>
      </c>
      <c r="I326" s="76">
        <f t="shared" si="1"/>
        <v>0</v>
      </c>
    </row>
    <row r="327" ht="14.25" customHeight="1">
      <c r="B327" s="84" t="str">
        <f t="array" ref="B327">IFERROR(INDEX(Activos!$B$3:$C$16, MATCH(C327,Activos!$B$3:$B$16),2),"")</f>
        <v/>
      </c>
      <c r="C327" s="84"/>
      <c r="D327" s="84"/>
      <c r="E327" s="76"/>
      <c r="F327" s="76" t="str">
        <f>IF(E327='Tablas AR'!$B$4,1,IF('Análisis de Riesgos'!E327='Tablas AR'!$B$5,2,IF('Análisis de Riesgos'!E327='Tablas AR'!$B$6,3,"")))</f>
        <v/>
      </c>
      <c r="G327" s="76"/>
      <c r="H327" s="76" t="str">
        <f>IF(G327='Tablas AR'!$B$10,1,IF('Análisis de Riesgos'!G327='Tablas AR'!$B$11,2,IF('Análisis de Riesgos'!G327='Tablas AR'!$B$12,3,"")))</f>
        <v/>
      </c>
      <c r="I327" s="76">
        <f t="shared" si="1"/>
        <v>0</v>
      </c>
    </row>
    <row r="328" ht="14.25" customHeight="1">
      <c r="B328" s="84" t="str">
        <f t="array" ref="B328">IFERROR(INDEX(Activos!$B$3:$C$16, MATCH(C328,Activos!$B$3:$B$16),2),"")</f>
        <v/>
      </c>
      <c r="C328" s="84"/>
      <c r="D328" s="84"/>
      <c r="E328" s="76"/>
      <c r="F328" s="76" t="str">
        <f>IF(E328='Tablas AR'!$B$4,1,IF('Análisis de Riesgos'!E328='Tablas AR'!$B$5,2,IF('Análisis de Riesgos'!E328='Tablas AR'!$B$6,3,"")))</f>
        <v/>
      </c>
      <c r="G328" s="76"/>
      <c r="H328" s="76" t="str">
        <f>IF(G328='Tablas AR'!$B$10,1,IF('Análisis de Riesgos'!G328='Tablas AR'!$B$11,2,IF('Análisis de Riesgos'!G328='Tablas AR'!$B$12,3,"")))</f>
        <v/>
      </c>
      <c r="I328" s="76">
        <f t="shared" si="1"/>
        <v>0</v>
      </c>
    </row>
    <row r="329" ht="14.25" customHeight="1">
      <c r="B329" s="84" t="str">
        <f t="array" ref="B329">IFERROR(INDEX(Activos!$B$3:$C$16, MATCH(C329,Activos!$B$3:$B$16),2),"")</f>
        <v/>
      </c>
      <c r="C329" s="84"/>
      <c r="D329" s="84"/>
      <c r="E329" s="76"/>
      <c r="F329" s="76" t="str">
        <f>IF(E329='Tablas AR'!$B$4,1,IF('Análisis de Riesgos'!E329='Tablas AR'!$B$5,2,IF('Análisis de Riesgos'!E329='Tablas AR'!$B$6,3,"")))</f>
        <v/>
      </c>
      <c r="G329" s="76"/>
      <c r="H329" s="76" t="str">
        <f>IF(G329='Tablas AR'!$B$10,1,IF('Análisis de Riesgos'!G329='Tablas AR'!$B$11,2,IF('Análisis de Riesgos'!G329='Tablas AR'!$B$12,3,"")))</f>
        <v/>
      </c>
      <c r="I329" s="76">
        <f t="shared" si="1"/>
        <v>0</v>
      </c>
    </row>
    <row r="330" ht="14.25" customHeight="1">
      <c r="B330" s="84" t="str">
        <f t="array" ref="B330">IFERROR(INDEX(Activos!$B$3:$C$16, MATCH(C330,Activos!$B$3:$B$16),2),"")</f>
        <v/>
      </c>
      <c r="C330" s="84"/>
      <c r="D330" s="84"/>
      <c r="E330" s="76"/>
      <c r="F330" s="76" t="str">
        <f>IF(E330='Tablas AR'!$B$4,1,IF('Análisis de Riesgos'!E330='Tablas AR'!$B$5,2,IF('Análisis de Riesgos'!E330='Tablas AR'!$B$6,3,"")))</f>
        <v/>
      </c>
      <c r="G330" s="76"/>
      <c r="H330" s="76" t="str">
        <f>IF(G330='Tablas AR'!$B$10,1,IF('Análisis de Riesgos'!G330='Tablas AR'!$B$11,2,IF('Análisis de Riesgos'!G330='Tablas AR'!$B$12,3,"")))</f>
        <v/>
      </c>
      <c r="I330" s="76">
        <f t="shared" si="1"/>
        <v>0</v>
      </c>
    </row>
    <row r="331" ht="14.25" customHeight="1">
      <c r="B331" s="84" t="str">
        <f t="array" ref="B331">IFERROR(INDEX(Activos!$B$3:$C$16, MATCH(C331,Activos!$B$3:$B$16),2),"")</f>
        <v/>
      </c>
      <c r="C331" s="84"/>
      <c r="D331" s="84"/>
      <c r="E331" s="76"/>
      <c r="F331" s="76" t="str">
        <f>IF(E331='Tablas AR'!$B$4,1,IF('Análisis de Riesgos'!E331='Tablas AR'!$B$5,2,IF('Análisis de Riesgos'!E331='Tablas AR'!$B$6,3,"")))</f>
        <v/>
      </c>
      <c r="G331" s="76"/>
      <c r="H331" s="76" t="str">
        <f>IF(G331='Tablas AR'!$B$10,1,IF('Análisis de Riesgos'!G331='Tablas AR'!$B$11,2,IF('Análisis de Riesgos'!G331='Tablas AR'!$B$12,3,"")))</f>
        <v/>
      </c>
      <c r="I331" s="76">
        <f t="shared" si="1"/>
        <v>0</v>
      </c>
    </row>
    <row r="332" ht="14.25" customHeight="1">
      <c r="B332" s="84" t="str">
        <f t="array" ref="B332">IFERROR(INDEX(Activos!$B$3:$C$16, MATCH(C332,Activos!$B$3:$B$16),2),"")</f>
        <v/>
      </c>
      <c r="C332" s="84"/>
      <c r="D332" s="84"/>
      <c r="E332" s="76"/>
      <c r="F332" s="76" t="str">
        <f>IF(E332='Tablas AR'!$B$4,1,IF('Análisis de Riesgos'!E332='Tablas AR'!$B$5,2,IF('Análisis de Riesgos'!E332='Tablas AR'!$B$6,3,"")))</f>
        <v/>
      </c>
      <c r="G332" s="76"/>
      <c r="H332" s="76" t="str">
        <f>IF(G332='Tablas AR'!$B$10,1,IF('Análisis de Riesgos'!G332='Tablas AR'!$B$11,2,IF('Análisis de Riesgos'!G332='Tablas AR'!$B$12,3,"")))</f>
        <v/>
      </c>
      <c r="I332" s="76">
        <f t="shared" si="1"/>
        <v>0</v>
      </c>
    </row>
    <row r="333" ht="14.25" customHeight="1">
      <c r="B333" s="84" t="str">
        <f t="array" ref="B333">IFERROR(INDEX(Activos!$B$3:$C$16, MATCH(C333,Activos!$B$3:$B$16),2),"")</f>
        <v/>
      </c>
      <c r="C333" s="84"/>
      <c r="D333" s="84"/>
      <c r="E333" s="76"/>
      <c r="F333" s="76" t="str">
        <f>IF(E333='Tablas AR'!$B$4,1,IF('Análisis de Riesgos'!E333='Tablas AR'!$B$5,2,IF('Análisis de Riesgos'!E333='Tablas AR'!$B$6,3,"")))</f>
        <v/>
      </c>
      <c r="G333" s="76"/>
      <c r="H333" s="76" t="str">
        <f>IF(G333='Tablas AR'!$B$10,1,IF('Análisis de Riesgos'!G333='Tablas AR'!$B$11,2,IF('Análisis de Riesgos'!G333='Tablas AR'!$B$12,3,"")))</f>
        <v/>
      </c>
      <c r="I333" s="76">
        <f t="shared" si="1"/>
        <v>0</v>
      </c>
    </row>
    <row r="334" ht="14.25" customHeight="1">
      <c r="B334" s="84" t="str">
        <f t="array" ref="B334">IFERROR(INDEX(Activos!$B$3:$C$16, MATCH(C334,Activos!$B$3:$B$16),2),"")</f>
        <v/>
      </c>
      <c r="C334" s="84"/>
      <c r="D334" s="84"/>
      <c r="E334" s="76"/>
      <c r="F334" s="76" t="str">
        <f>IF(E334='Tablas AR'!$B$4,1,IF('Análisis de Riesgos'!E334='Tablas AR'!$B$5,2,IF('Análisis de Riesgos'!E334='Tablas AR'!$B$6,3,"")))</f>
        <v/>
      </c>
      <c r="G334" s="76"/>
      <c r="H334" s="76" t="str">
        <f>IF(G334='Tablas AR'!$B$10,1,IF('Análisis de Riesgos'!G334='Tablas AR'!$B$11,2,IF('Análisis de Riesgos'!G334='Tablas AR'!$B$12,3,"")))</f>
        <v/>
      </c>
      <c r="I334" s="76">
        <f t="shared" si="1"/>
        <v>0</v>
      </c>
    </row>
    <row r="335" ht="14.25" customHeight="1">
      <c r="B335" s="84" t="str">
        <f t="array" ref="B335">IFERROR(INDEX(Activos!$B$3:$C$16, MATCH(C335,Activos!$B$3:$B$16),2),"")</f>
        <v/>
      </c>
      <c r="C335" s="84"/>
      <c r="D335" s="84"/>
      <c r="E335" s="76"/>
      <c r="F335" s="76" t="str">
        <f>IF(E335='Tablas AR'!$B$4,1,IF('Análisis de Riesgos'!E335='Tablas AR'!$B$5,2,IF('Análisis de Riesgos'!E335='Tablas AR'!$B$6,3,"")))</f>
        <v/>
      </c>
      <c r="G335" s="76"/>
      <c r="H335" s="76" t="str">
        <f>IF(G335='Tablas AR'!$B$10,1,IF('Análisis de Riesgos'!G335='Tablas AR'!$B$11,2,IF('Análisis de Riesgos'!G335='Tablas AR'!$B$12,3,"")))</f>
        <v/>
      </c>
      <c r="I335" s="76">
        <f t="shared" si="1"/>
        <v>0</v>
      </c>
    </row>
    <row r="336" ht="14.25" customHeight="1">
      <c r="B336" s="84" t="str">
        <f t="array" ref="B336">IFERROR(INDEX(Activos!$B$3:$C$16, MATCH(C336,Activos!$B$3:$B$16),2),"")</f>
        <v/>
      </c>
      <c r="C336" s="84"/>
      <c r="D336" s="84"/>
      <c r="E336" s="76"/>
      <c r="F336" s="76" t="str">
        <f>IF(E336='Tablas AR'!$B$4,1,IF('Análisis de Riesgos'!E336='Tablas AR'!$B$5,2,IF('Análisis de Riesgos'!E336='Tablas AR'!$B$6,3,"")))</f>
        <v/>
      </c>
      <c r="G336" s="76"/>
      <c r="H336" s="76" t="str">
        <f>IF(G336='Tablas AR'!$B$10,1,IF('Análisis de Riesgos'!G336='Tablas AR'!$B$11,2,IF('Análisis de Riesgos'!G336='Tablas AR'!$B$12,3,"")))</f>
        <v/>
      </c>
      <c r="I336" s="76">
        <f t="shared" si="1"/>
        <v>0</v>
      </c>
    </row>
    <row r="337" ht="14.25" customHeight="1">
      <c r="B337" s="84" t="str">
        <f t="array" ref="B337">IFERROR(INDEX(Activos!$B$3:$C$16, MATCH(C337,Activos!$B$3:$B$16),2),"")</f>
        <v/>
      </c>
      <c r="C337" s="84"/>
      <c r="D337" s="84"/>
      <c r="E337" s="76"/>
      <c r="F337" s="76" t="str">
        <f>IF(E337='Tablas AR'!$B$4,1,IF('Análisis de Riesgos'!E337='Tablas AR'!$B$5,2,IF('Análisis de Riesgos'!E337='Tablas AR'!$B$6,3,"")))</f>
        <v/>
      </c>
      <c r="G337" s="76"/>
      <c r="H337" s="76" t="str">
        <f>IF(G337='Tablas AR'!$B$10,1,IF('Análisis de Riesgos'!G337='Tablas AR'!$B$11,2,IF('Análisis de Riesgos'!G337='Tablas AR'!$B$12,3,"")))</f>
        <v/>
      </c>
      <c r="I337" s="76">
        <f t="shared" si="1"/>
        <v>0</v>
      </c>
    </row>
    <row r="338" ht="14.25" customHeight="1">
      <c r="B338" s="84" t="str">
        <f t="array" ref="B338">IFERROR(INDEX(Activos!$B$3:$C$16, MATCH(C338,Activos!$B$3:$B$16),2),"")</f>
        <v/>
      </c>
      <c r="C338" s="84"/>
      <c r="D338" s="84"/>
      <c r="E338" s="76"/>
      <c r="F338" s="76" t="str">
        <f>IF(E338='Tablas AR'!$B$4,1,IF('Análisis de Riesgos'!E338='Tablas AR'!$B$5,2,IF('Análisis de Riesgos'!E338='Tablas AR'!$B$6,3,"")))</f>
        <v/>
      </c>
      <c r="G338" s="76"/>
      <c r="H338" s="76" t="str">
        <f>IF(G338='Tablas AR'!$B$10,1,IF('Análisis de Riesgos'!G338='Tablas AR'!$B$11,2,IF('Análisis de Riesgos'!G338='Tablas AR'!$B$12,3,"")))</f>
        <v/>
      </c>
      <c r="I338" s="76">
        <f t="shared" si="1"/>
        <v>0</v>
      </c>
    </row>
    <row r="339" ht="14.25" customHeight="1">
      <c r="B339" s="84" t="str">
        <f t="array" ref="B339">IFERROR(INDEX(Activos!$B$3:$C$16, MATCH(C339,Activos!$B$3:$B$16),2),"")</f>
        <v/>
      </c>
      <c r="C339" s="84"/>
      <c r="D339" s="84"/>
      <c r="E339" s="76"/>
      <c r="F339" s="76" t="str">
        <f>IF(E339='Tablas AR'!$B$4,1,IF('Análisis de Riesgos'!E339='Tablas AR'!$B$5,2,IF('Análisis de Riesgos'!E339='Tablas AR'!$B$6,3,"")))</f>
        <v/>
      </c>
      <c r="G339" s="76"/>
      <c r="H339" s="76" t="str">
        <f>IF(G339='Tablas AR'!$B$10,1,IF('Análisis de Riesgos'!G339='Tablas AR'!$B$11,2,IF('Análisis de Riesgos'!G339='Tablas AR'!$B$12,3,"")))</f>
        <v/>
      </c>
      <c r="I339" s="76">
        <f t="shared" si="1"/>
        <v>0</v>
      </c>
    </row>
    <row r="340" ht="14.25" customHeight="1">
      <c r="B340" s="84" t="str">
        <f t="array" ref="B340">IFERROR(INDEX(Activos!$B$3:$C$16, MATCH(C340,Activos!$B$3:$B$16),2),"")</f>
        <v/>
      </c>
      <c r="C340" s="84"/>
      <c r="D340" s="84"/>
      <c r="E340" s="76"/>
      <c r="F340" s="76" t="str">
        <f>IF(E340='Tablas AR'!$B$4,1,IF('Análisis de Riesgos'!E340='Tablas AR'!$B$5,2,IF('Análisis de Riesgos'!E340='Tablas AR'!$B$6,3,"")))</f>
        <v/>
      </c>
      <c r="G340" s="76"/>
      <c r="H340" s="76" t="str">
        <f>IF(G340='Tablas AR'!$B$10,1,IF('Análisis de Riesgos'!G340='Tablas AR'!$B$11,2,IF('Análisis de Riesgos'!G340='Tablas AR'!$B$12,3,"")))</f>
        <v/>
      </c>
      <c r="I340" s="76">
        <f t="shared" si="1"/>
        <v>0</v>
      </c>
    </row>
    <row r="341" ht="14.25" customHeight="1">
      <c r="B341" s="84" t="str">
        <f t="array" ref="B341">IFERROR(INDEX(Activos!$B$3:$C$16, MATCH(C341,Activos!$B$3:$B$16),2),"")</f>
        <v/>
      </c>
      <c r="C341" s="84"/>
      <c r="D341" s="84"/>
      <c r="E341" s="76"/>
      <c r="F341" s="76" t="str">
        <f>IF(E341='Tablas AR'!$B$4,1,IF('Análisis de Riesgos'!E341='Tablas AR'!$B$5,2,IF('Análisis de Riesgos'!E341='Tablas AR'!$B$6,3,"")))</f>
        <v/>
      </c>
      <c r="G341" s="76"/>
      <c r="H341" s="76" t="str">
        <f>IF(G341='Tablas AR'!$B$10,1,IF('Análisis de Riesgos'!G341='Tablas AR'!$B$11,2,IF('Análisis de Riesgos'!G341='Tablas AR'!$B$12,3,"")))</f>
        <v/>
      </c>
      <c r="I341" s="76">
        <f t="shared" si="1"/>
        <v>0</v>
      </c>
    </row>
    <row r="342" ht="14.25" customHeight="1">
      <c r="B342" s="84" t="str">
        <f t="array" ref="B342">IFERROR(INDEX(Activos!$B$3:$C$16, MATCH(C342,Activos!$B$3:$B$16),2),"")</f>
        <v/>
      </c>
      <c r="C342" s="84"/>
      <c r="D342" s="84"/>
      <c r="E342" s="76"/>
      <c r="F342" s="76" t="str">
        <f>IF(E342='Tablas AR'!$B$4,1,IF('Análisis de Riesgos'!E342='Tablas AR'!$B$5,2,IF('Análisis de Riesgos'!E342='Tablas AR'!$B$6,3,"")))</f>
        <v/>
      </c>
      <c r="G342" s="76"/>
      <c r="H342" s="76" t="str">
        <f>IF(G342='Tablas AR'!$B$10,1,IF('Análisis de Riesgos'!G342='Tablas AR'!$B$11,2,IF('Análisis de Riesgos'!G342='Tablas AR'!$B$12,3,"")))</f>
        <v/>
      </c>
      <c r="I342" s="76">
        <f t="shared" si="1"/>
        <v>0</v>
      </c>
    </row>
    <row r="343" ht="14.25" customHeight="1">
      <c r="B343" s="84" t="str">
        <f t="array" ref="B343">IFERROR(INDEX(Activos!$B$3:$C$16, MATCH(C343,Activos!$B$3:$B$16),2),"")</f>
        <v/>
      </c>
      <c r="C343" s="84"/>
      <c r="D343" s="84"/>
      <c r="E343" s="76"/>
      <c r="F343" s="76" t="str">
        <f>IF(E343='Tablas AR'!$B$4,1,IF('Análisis de Riesgos'!E343='Tablas AR'!$B$5,2,IF('Análisis de Riesgos'!E343='Tablas AR'!$B$6,3,"")))</f>
        <v/>
      </c>
      <c r="G343" s="76"/>
      <c r="H343" s="76" t="str">
        <f>IF(G343='Tablas AR'!$B$10,1,IF('Análisis de Riesgos'!G343='Tablas AR'!$B$11,2,IF('Análisis de Riesgos'!G343='Tablas AR'!$B$12,3,"")))</f>
        <v/>
      </c>
      <c r="I343" s="76">
        <f t="shared" si="1"/>
        <v>0</v>
      </c>
    </row>
    <row r="344" ht="14.25" customHeight="1">
      <c r="B344" s="84" t="str">
        <f t="array" ref="B344">IFERROR(INDEX(Activos!$B$3:$C$16, MATCH(C344,Activos!$B$3:$B$16),2),"")</f>
        <v/>
      </c>
      <c r="C344" s="84"/>
      <c r="D344" s="84"/>
      <c r="E344" s="76"/>
      <c r="F344" s="76" t="str">
        <f>IF(E344='Tablas AR'!$B$4,1,IF('Análisis de Riesgos'!E344='Tablas AR'!$B$5,2,IF('Análisis de Riesgos'!E344='Tablas AR'!$B$6,3,"")))</f>
        <v/>
      </c>
      <c r="G344" s="76"/>
      <c r="H344" s="76" t="str">
        <f>IF(G344='Tablas AR'!$B$10,1,IF('Análisis de Riesgos'!G344='Tablas AR'!$B$11,2,IF('Análisis de Riesgos'!G344='Tablas AR'!$B$12,3,"")))</f>
        <v/>
      </c>
      <c r="I344" s="76">
        <f t="shared" si="1"/>
        <v>0</v>
      </c>
    </row>
    <row r="345" ht="14.25" customHeight="1">
      <c r="B345" s="84" t="str">
        <f t="array" ref="B345">IFERROR(INDEX(Activos!$B$3:$C$16, MATCH(C345,Activos!$B$3:$B$16),2),"")</f>
        <v/>
      </c>
      <c r="C345" s="84"/>
      <c r="D345" s="84"/>
      <c r="E345" s="76"/>
      <c r="F345" s="76" t="str">
        <f>IF(E345='Tablas AR'!$B$4,1,IF('Análisis de Riesgos'!E345='Tablas AR'!$B$5,2,IF('Análisis de Riesgos'!E345='Tablas AR'!$B$6,3,"")))</f>
        <v/>
      </c>
      <c r="G345" s="76"/>
      <c r="H345" s="76" t="str">
        <f>IF(G345='Tablas AR'!$B$10,1,IF('Análisis de Riesgos'!G345='Tablas AR'!$B$11,2,IF('Análisis de Riesgos'!G345='Tablas AR'!$B$12,3,"")))</f>
        <v/>
      </c>
      <c r="I345" s="76">
        <f t="shared" si="1"/>
        <v>0</v>
      </c>
    </row>
    <row r="346" ht="14.25" customHeight="1">
      <c r="B346" s="84" t="str">
        <f t="array" ref="B346">IFERROR(INDEX(Activos!$B$3:$C$16, MATCH(C346,Activos!$B$3:$B$16),2),"")</f>
        <v/>
      </c>
      <c r="C346" s="84"/>
      <c r="D346" s="84"/>
      <c r="E346" s="76"/>
      <c r="F346" s="76" t="str">
        <f>IF(E346='Tablas AR'!$B$4,1,IF('Análisis de Riesgos'!E346='Tablas AR'!$B$5,2,IF('Análisis de Riesgos'!E346='Tablas AR'!$B$6,3,"")))</f>
        <v/>
      </c>
      <c r="G346" s="76"/>
      <c r="H346" s="76" t="str">
        <f>IF(G346='Tablas AR'!$B$10,1,IF('Análisis de Riesgos'!G346='Tablas AR'!$B$11,2,IF('Análisis de Riesgos'!G346='Tablas AR'!$B$12,3,"")))</f>
        <v/>
      </c>
      <c r="I346" s="76">
        <f t="shared" si="1"/>
        <v>0</v>
      </c>
    </row>
    <row r="347" ht="14.25" customHeight="1">
      <c r="B347" s="84" t="str">
        <f t="array" ref="B347">IFERROR(INDEX(Activos!$B$3:$C$16, MATCH(C347,Activos!$B$3:$B$16),2),"")</f>
        <v/>
      </c>
      <c r="C347" s="84"/>
      <c r="D347" s="84"/>
      <c r="E347" s="76"/>
      <c r="F347" s="76" t="str">
        <f>IF(E347='Tablas AR'!$B$4,1,IF('Análisis de Riesgos'!E347='Tablas AR'!$B$5,2,IF('Análisis de Riesgos'!E347='Tablas AR'!$B$6,3,"")))</f>
        <v/>
      </c>
      <c r="G347" s="76"/>
      <c r="H347" s="76" t="str">
        <f>IF(G347='Tablas AR'!$B$10,1,IF('Análisis de Riesgos'!G347='Tablas AR'!$B$11,2,IF('Análisis de Riesgos'!G347='Tablas AR'!$B$12,3,"")))</f>
        <v/>
      </c>
      <c r="I347" s="76">
        <f t="shared" si="1"/>
        <v>0</v>
      </c>
    </row>
    <row r="348" ht="14.25" customHeight="1">
      <c r="B348" s="84" t="str">
        <f t="array" ref="B348">IFERROR(INDEX(Activos!$B$3:$C$16, MATCH(C348,Activos!$B$3:$B$16),2),"")</f>
        <v/>
      </c>
      <c r="C348" s="84"/>
      <c r="D348" s="84"/>
      <c r="E348" s="76"/>
      <c r="F348" s="76" t="str">
        <f>IF(E348='Tablas AR'!$B$4,1,IF('Análisis de Riesgos'!E348='Tablas AR'!$B$5,2,IF('Análisis de Riesgos'!E348='Tablas AR'!$B$6,3,"")))</f>
        <v/>
      </c>
      <c r="G348" s="76"/>
      <c r="H348" s="76" t="str">
        <f>IF(G348='Tablas AR'!$B$10,1,IF('Análisis de Riesgos'!G348='Tablas AR'!$B$11,2,IF('Análisis de Riesgos'!G348='Tablas AR'!$B$12,3,"")))</f>
        <v/>
      </c>
      <c r="I348" s="76">
        <f t="shared" si="1"/>
        <v>0</v>
      </c>
    </row>
    <row r="349" ht="14.25" customHeight="1">
      <c r="B349" s="84" t="str">
        <f t="array" ref="B349">IFERROR(INDEX(Activos!$B$3:$C$16, MATCH(C349,Activos!$B$3:$B$16),2),"")</f>
        <v/>
      </c>
      <c r="C349" s="84"/>
      <c r="D349" s="84"/>
      <c r="E349" s="76"/>
      <c r="F349" s="76" t="str">
        <f>IF(E349='Tablas AR'!$B$4,1,IF('Análisis de Riesgos'!E349='Tablas AR'!$B$5,2,IF('Análisis de Riesgos'!E349='Tablas AR'!$B$6,3,"")))</f>
        <v/>
      </c>
      <c r="G349" s="76"/>
      <c r="H349" s="76" t="str">
        <f>IF(G349='Tablas AR'!$B$10,1,IF('Análisis de Riesgos'!G349='Tablas AR'!$B$11,2,IF('Análisis de Riesgos'!G349='Tablas AR'!$B$12,3,"")))</f>
        <v/>
      </c>
      <c r="I349" s="76">
        <f t="shared" si="1"/>
        <v>0</v>
      </c>
    </row>
    <row r="350" ht="14.25" customHeight="1">
      <c r="B350" s="84" t="str">
        <f t="array" ref="B350">IFERROR(INDEX(Activos!$B$3:$C$16, MATCH(C350,Activos!$B$3:$B$16),2),"")</f>
        <v/>
      </c>
      <c r="C350" s="84"/>
      <c r="D350" s="84"/>
      <c r="E350" s="76"/>
      <c r="F350" s="76" t="str">
        <f>IF(E350='Tablas AR'!$B$4,1,IF('Análisis de Riesgos'!E350='Tablas AR'!$B$5,2,IF('Análisis de Riesgos'!E350='Tablas AR'!$B$6,3,"")))</f>
        <v/>
      </c>
      <c r="G350" s="76"/>
      <c r="H350" s="76" t="str">
        <f>IF(G350='Tablas AR'!$B$10,1,IF('Análisis de Riesgos'!G350='Tablas AR'!$B$11,2,IF('Análisis de Riesgos'!G350='Tablas AR'!$B$12,3,"")))</f>
        <v/>
      </c>
      <c r="I350" s="76">
        <f t="shared" si="1"/>
        <v>0</v>
      </c>
    </row>
    <row r="351" ht="14.25" customHeight="1">
      <c r="B351" s="84" t="str">
        <f t="array" ref="B351">IFERROR(INDEX(Activos!$B$3:$C$16, MATCH(C351,Activos!$B$3:$B$16),2),"")</f>
        <v/>
      </c>
      <c r="C351" s="84"/>
      <c r="D351" s="84"/>
      <c r="E351" s="76"/>
      <c r="F351" s="76" t="str">
        <f>IF(E351='Tablas AR'!$B$4,1,IF('Análisis de Riesgos'!E351='Tablas AR'!$B$5,2,IF('Análisis de Riesgos'!E351='Tablas AR'!$B$6,3,"")))</f>
        <v/>
      </c>
      <c r="G351" s="76"/>
      <c r="H351" s="76" t="str">
        <f>IF(G351='Tablas AR'!$B$10,1,IF('Análisis de Riesgos'!G351='Tablas AR'!$B$11,2,IF('Análisis de Riesgos'!G351='Tablas AR'!$B$12,3,"")))</f>
        <v/>
      </c>
      <c r="I351" s="76">
        <f t="shared" si="1"/>
        <v>0</v>
      </c>
    </row>
    <row r="352" ht="14.25" customHeight="1">
      <c r="B352" s="84" t="str">
        <f t="array" ref="B352">IFERROR(INDEX(Activos!$B$3:$C$16, MATCH(C352,Activos!$B$3:$B$16),2),"")</f>
        <v/>
      </c>
      <c r="C352" s="84"/>
      <c r="D352" s="84"/>
      <c r="E352" s="76"/>
      <c r="F352" s="76" t="str">
        <f>IF(E352='Tablas AR'!$B$4,1,IF('Análisis de Riesgos'!E352='Tablas AR'!$B$5,2,IF('Análisis de Riesgos'!E352='Tablas AR'!$B$6,3,"")))</f>
        <v/>
      </c>
      <c r="G352" s="76"/>
      <c r="H352" s="76" t="str">
        <f>IF(G352='Tablas AR'!$B$10,1,IF('Análisis de Riesgos'!G352='Tablas AR'!$B$11,2,IF('Análisis de Riesgos'!G352='Tablas AR'!$B$12,3,"")))</f>
        <v/>
      </c>
      <c r="I352" s="76">
        <f t="shared" si="1"/>
        <v>0</v>
      </c>
    </row>
    <row r="353" ht="14.25" customHeight="1">
      <c r="B353" s="84" t="str">
        <f t="array" ref="B353">IFERROR(INDEX(Activos!$B$3:$C$16, MATCH(C353,Activos!$B$3:$B$16),2),"")</f>
        <v/>
      </c>
      <c r="C353" s="84"/>
      <c r="D353" s="84"/>
      <c r="E353" s="76"/>
      <c r="F353" s="76" t="str">
        <f>IF(E353='Tablas AR'!$B$4,1,IF('Análisis de Riesgos'!E353='Tablas AR'!$B$5,2,IF('Análisis de Riesgos'!E353='Tablas AR'!$B$6,3,"")))</f>
        <v/>
      </c>
      <c r="G353" s="76"/>
      <c r="H353" s="76" t="str">
        <f>IF(G353='Tablas AR'!$B$10,1,IF('Análisis de Riesgos'!G353='Tablas AR'!$B$11,2,IF('Análisis de Riesgos'!G353='Tablas AR'!$B$12,3,"")))</f>
        <v/>
      </c>
      <c r="I353" s="76">
        <f t="shared" si="1"/>
        <v>0</v>
      </c>
    </row>
    <row r="354" ht="14.25" customHeight="1">
      <c r="B354" s="84" t="str">
        <f t="array" ref="B354">IFERROR(INDEX(Activos!$B$3:$C$16, MATCH(C354,Activos!$B$3:$B$16),2),"")</f>
        <v/>
      </c>
      <c r="C354" s="84"/>
      <c r="D354" s="84"/>
      <c r="E354" s="76"/>
      <c r="F354" s="76" t="str">
        <f>IF(E354='Tablas AR'!$B$4,1,IF('Análisis de Riesgos'!E354='Tablas AR'!$B$5,2,IF('Análisis de Riesgos'!E354='Tablas AR'!$B$6,3,"")))</f>
        <v/>
      </c>
      <c r="G354" s="76"/>
      <c r="H354" s="76" t="str">
        <f>IF(G354='Tablas AR'!$B$10,1,IF('Análisis de Riesgos'!G354='Tablas AR'!$B$11,2,IF('Análisis de Riesgos'!G354='Tablas AR'!$B$12,3,"")))</f>
        <v/>
      </c>
      <c r="I354" s="76">
        <f t="shared" si="1"/>
        <v>0</v>
      </c>
    </row>
    <row r="355" ht="14.25" customHeight="1">
      <c r="B355" s="84" t="str">
        <f t="array" ref="B355">IFERROR(INDEX(Activos!$B$3:$C$16, MATCH(C355,Activos!$B$3:$B$16),2),"")</f>
        <v/>
      </c>
      <c r="C355" s="84"/>
      <c r="D355" s="84"/>
      <c r="E355" s="76"/>
      <c r="F355" s="76" t="str">
        <f>IF(E355='Tablas AR'!$B$4,1,IF('Análisis de Riesgos'!E355='Tablas AR'!$B$5,2,IF('Análisis de Riesgos'!E355='Tablas AR'!$B$6,3,"")))</f>
        <v/>
      </c>
      <c r="G355" s="76"/>
      <c r="H355" s="76" t="str">
        <f>IF(G355='Tablas AR'!$B$10,1,IF('Análisis de Riesgos'!G355='Tablas AR'!$B$11,2,IF('Análisis de Riesgos'!G355='Tablas AR'!$B$12,3,"")))</f>
        <v/>
      </c>
      <c r="I355" s="76">
        <f t="shared" si="1"/>
        <v>0</v>
      </c>
    </row>
    <row r="356" ht="14.25" customHeight="1">
      <c r="B356" s="84" t="str">
        <f t="array" ref="B356">IFERROR(INDEX(Activos!$B$3:$C$16, MATCH(C356,Activos!$B$3:$B$16),2),"")</f>
        <v/>
      </c>
      <c r="C356" s="84"/>
      <c r="D356" s="84"/>
      <c r="E356" s="76"/>
      <c r="F356" s="76" t="str">
        <f>IF(E356='Tablas AR'!$B$4,1,IF('Análisis de Riesgos'!E356='Tablas AR'!$B$5,2,IF('Análisis de Riesgos'!E356='Tablas AR'!$B$6,3,"")))</f>
        <v/>
      </c>
      <c r="G356" s="76"/>
      <c r="H356" s="76" t="str">
        <f>IF(G356='Tablas AR'!$B$10,1,IF('Análisis de Riesgos'!G356='Tablas AR'!$B$11,2,IF('Análisis de Riesgos'!G356='Tablas AR'!$B$12,3,"")))</f>
        <v/>
      </c>
      <c r="I356" s="76">
        <f t="shared" si="1"/>
        <v>0</v>
      </c>
    </row>
    <row r="357" ht="14.25" customHeight="1">
      <c r="B357" s="84" t="str">
        <f t="array" ref="B357">IFERROR(INDEX(Activos!$B$3:$C$16, MATCH(C357,Activos!$B$3:$B$16),2),"")</f>
        <v/>
      </c>
      <c r="C357" s="84"/>
      <c r="D357" s="84"/>
      <c r="E357" s="76"/>
      <c r="F357" s="76" t="str">
        <f>IF(E357='Tablas AR'!$B$4,1,IF('Análisis de Riesgos'!E357='Tablas AR'!$B$5,2,IF('Análisis de Riesgos'!E357='Tablas AR'!$B$6,3,"")))</f>
        <v/>
      </c>
      <c r="G357" s="76"/>
      <c r="H357" s="76" t="str">
        <f>IF(G357='Tablas AR'!$B$10,1,IF('Análisis de Riesgos'!G357='Tablas AR'!$B$11,2,IF('Análisis de Riesgos'!G357='Tablas AR'!$B$12,3,"")))</f>
        <v/>
      </c>
      <c r="I357" s="76">
        <f t="shared" si="1"/>
        <v>0</v>
      </c>
    </row>
    <row r="358" ht="14.25" customHeight="1">
      <c r="B358" s="84" t="str">
        <f t="array" ref="B358">IFERROR(INDEX(Activos!$B$3:$C$16, MATCH(C358,Activos!$B$3:$B$16),2),"")</f>
        <v/>
      </c>
      <c r="C358" s="84"/>
      <c r="D358" s="84"/>
      <c r="E358" s="76"/>
      <c r="F358" s="76" t="str">
        <f>IF(E358='Tablas AR'!$B$4,1,IF('Análisis de Riesgos'!E358='Tablas AR'!$B$5,2,IF('Análisis de Riesgos'!E358='Tablas AR'!$B$6,3,"")))</f>
        <v/>
      </c>
      <c r="G358" s="76"/>
      <c r="H358" s="76" t="str">
        <f>IF(G358='Tablas AR'!$B$10,1,IF('Análisis de Riesgos'!G358='Tablas AR'!$B$11,2,IF('Análisis de Riesgos'!G358='Tablas AR'!$B$12,3,"")))</f>
        <v/>
      </c>
      <c r="I358" s="76">
        <f t="shared" si="1"/>
        <v>0</v>
      </c>
    </row>
    <row r="359" ht="14.25" customHeight="1">
      <c r="B359" s="84" t="str">
        <f t="array" ref="B359">IFERROR(INDEX(Activos!$B$3:$C$16, MATCH(C359,Activos!$B$3:$B$16),2),"")</f>
        <v/>
      </c>
      <c r="C359" s="84"/>
      <c r="D359" s="84"/>
      <c r="E359" s="76"/>
      <c r="F359" s="76" t="str">
        <f>IF(E359='Tablas AR'!$B$4,1,IF('Análisis de Riesgos'!E359='Tablas AR'!$B$5,2,IF('Análisis de Riesgos'!E359='Tablas AR'!$B$6,3,"")))</f>
        <v/>
      </c>
      <c r="G359" s="76"/>
      <c r="H359" s="76" t="str">
        <f>IF(G359='Tablas AR'!$B$10,1,IF('Análisis de Riesgos'!G359='Tablas AR'!$B$11,2,IF('Análisis de Riesgos'!G359='Tablas AR'!$B$12,3,"")))</f>
        <v/>
      </c>
      <c r="I359" s="76">
        <f t="shared" si="1"/>
        <v>0</v>
      </c>
    </row>
    <row r="360" ht="14.25" customHeight="1">
      <c r="B360" s="84" t="str">
        <f t="array" ref="B360">IFERROR(INDEX(Activos!$B$3:$C$16, MATCH(C360,Activos!$B$3:$B$16),2),"")</f>
        <v/>
      </c>
      <c r="C360" s="84"/>
      <c r="D360" s="84"/>
      <c r="E360" s="76"/>
      <c r="F360" s="76" t="str">
        <f>IF(E360='Tablas AR'!$B$4,1,IF('Análisis de Riesgos'!E360='Tablas AR'!$B$5,2,IF('Análisis de Riesgos'!E360='Tablas AR'!$B$6,3,"")))</f>
        <v/>
      </c>
      <c r="G360" s="76"/>
      <c r="H360" s="76" t="str">
        <f>IF(G360='Tablas AR'!$B$10,1,IF('Análisis de Riesgos'!G360='Tablas AR'!$B$11,2,IF('Análisis de Riesgos'!G360='Tablas AR'!$B$12,3,"")))</f>
        <v/>
      </c>
      <c r="I360" s="76">
        <f t="shared" si="1"/>
        <v>0</v>
      </c>
    </row>
    <row r="361" ht="14.25" customHeight="1">
      <c r="B361" s="84" t="str">
        <f t="array" ref="B361">IFERROR(INDEX(Activos!$B$3:$C$16, MATCH(C361,Activos!$B$3:$B$16),2),"")</f>
        <v/>
      </c>
      <c r="C361" s="84"/>
      <c r="D361" s="84"/>
      <c r="E361" s="76"/>
      <c r="F361" s="76" t="str">
        <f>IF(E361='Tablas AR'!$B$4,1,IF('Análisis de Riesgos'!E361='Tablas AR'!$B$5,2,IF('Análisis de Riesgos'!E361='Tablas AR'!$B$6,3,"")))</f>
        <v/>
      </c>
      <c r="G361" s="76"/>
      <c r="H361" s="76" t="str">
        <f>IF(G361='Tablas AR'!$B$10,1,IF('Análisis de Riesgos'!G361='Tablas AR'!$B$11,2,IF('Análisis de Riesgos'!G361='Tablas AR'!$B$12,3,"")))</f>
        <v/>
      </c>
      <c r="I361" s="76">
        <f t="shared" si="1"/>
        <v>0</v>
      </c>
    </row>
    <row r="362" ht="14.25" customHeight="1">
      <c r="B362" s="84" t="str">
        <f t="array" ref="B362">IFERROR(INDEX(Activos!$B$3:$C$16, MATCH(C362,Activos!$B$3:$B$16),2),"")</f>
        <v/>
      </c>
      <c r="C362" s="84"/>
      <c r="D362" s="84"/>
      <c r="E362" s="76"/>
      <c r="F362" s="76" t="str">
        <f>IF(E362='Tablas AR'!$B$4,1,IF('Análisis de Riesgos'!E362='Tablas AR'!$B$5,2,IF('Análisis de Riesgos'!E362='Tablas AR'!$B$6,3,"")))</f>
        <v/>
      </c>
      <c r="G362" s="76"/>
      <c r="H362" s="76" t="str">
        <f>IF(G362='Tablas AR'!$B$10,1,IF('Análisis de Riesgos'!G362='Tablas AR'!$B$11,2,IF('Análisis de Riesgos'!G362='Tablas AR'!$B$12,3,"")))</f>
        <v/>
      </c>
      <c r="I362" s="76">
        <f t="shared" si="1"/>
        <v>0</v>
      </c>
    </row>
    <row r="363" ht="14.25" customHeight="1">
      <c r="B363" s="84" t="str">
        <f t="array" ref="B363">IFERROR(INDEX(Activos!$B$3:$C$16, MATCH(C363,Activos!$B$3:$B$16),2),"")</f>
        <v/>
      </c>
      <c r="C363" s="84"/>
      <c r="D363" s="84"/>
      <c r="E363" s="76"/>
      <c r="F363" s="76" t="str">
        <f>IF(E363='Tablas AR'!$B$4,1,IF('Análisis de Riesgos'!E363='Tablas AR'!$B$5,2,IF('Análisis de Riesgos'!E363='Tablas AR'!$B$6,3,"")))</f>
        <v/>
      </c>
      <c r="G363" s="76"/>
      <c r="H363" s="76" t="str">
        <f>IF(G363='Tablas AR'!$B$10,1,IF('Análisis de Riesgos'!G363='Tablas AR'!$B$11,2,IF('Análisis de Riesgos'!G363='Tablas AR'!$B$12,3,"")))</f>
        <v/>
      </c>
      <c r="I363" s="76">
        <f t="shared" si="1"/>
        <v>0</v>
      </c>
    </row>
    <row r="364" ht="14.25" customHeight="1">
      <c r="B364" s="84" t="str">
        <f t="array" ref="B364">IFERROR(INDEX(Activos!$B$3:$C$16, MATCH(C364,Activos!$B$3:$B$16),2),"")</f>
        <v/>
      </c>
      <c r="C364" s="84"/>
      <c r="D364" s="84"/>
      <c r="E364" s="76"/>
      <c r="F364" s="76" t="str">
        <f>IF(E364='Tablas AR'!$B$4,1,IF('Análisis de Riesgos'!E364='Tablas AR'!$B$5,2,IF('Análisis de Riesgos'!E364='Tablas AR'!$B$6,3,"")))</f>
        <v/>
      </c>
      <c r="G364" s="76"/>
      <c r="H364" s="76" t="str">
        <f>IF(G364='Tablas AR'!$B$10,1,IF('Análisis de Riesgos'!G364='Tablas AR'!$B$11,2,IF('Análisis de Riesgos'!G364='Tablas AR'!$B$12,3,"")))</f>
        <v/>
      </c>
      <c r="I364" s="76">
        <f t="shared" si="1"/>
        <v>0</v>
      </c>
    </row>
    <row r="365" ht="14.25" customHeight="1">
      <c r="B365" s="84" t="str">
        <f t="array" ref="B365">IFERROR(INDEX(Activos!$B$3:$C$16, MATCH(C365,Activos!$B$3:$B$16),2),"")</f>
        <v/>
      </c>
      <c r="C365" s="84"/>
      <c r="D365" s="84"/>
      <c r="E365" s="76"/>
      <c r="F365" s="76" t="str">
        <f>IF(E365='Tablas AR'!$B$4,1,IF('Análisis de Riesgos'!E365='Tablas AR'!$B$5,2,IF('Análisis de Riesgos'!E365='Tablas AR'!$B$6,3,"")))</f>
        <v/>
      </c>
      <c r="G365" s="76"/>
      <c r="H365" s="76" t="str">
        <f>IF(G365='Tablas AR'!$B$10,1,IF('Análisis de Riesgos'!G365='Tablas AR'!$B$11,2,IF('Análisis de Riesgos'!G365='Tablas AR'!$B$12,3,"")))</f>
        <v/>
      </c>
      <c r="I365" s="76">
        <f t="shared" si="1"/>
        <v>0</v>
      </c>
    </row>
    <row r="366" ht="14.25" customHeight="1">
      <c r="B366" s="84" t="str">
        <f t="array" ref="B366">IFERROR(INDEX(Activos!$B$3:$C$16, MATCH(C366,Activos!$B$3:$B$16),2),"")</f>
        <v/>
      </c>
      <c r="C366" s="84"/>
      <c r="D366" s="84"/>
      <c r="E366" s="76"/>
      <c r="F366" s="76" t="str">
        <f>IF(E366='Tablas AR'!$B$4,1,IF('Análisis de Riesgos'!E366='Tablas AR'!$B$5,2,IF('Análisis de Riesgos'!E366='Tablas AR'!$B$6,3,"")))</f>
        <v/>
      </c>
      <c r="G366" s="76"/>
      <c r="H366" s="76" t="str">
        <f>IF(G366='Tablas AR'!$B$10,1,IF('Análisis de Riesgos'!G366='Tablas AR'!$B$11,2,IF('Análisis de Riesgos'!G366='Tablas AR'!$B$12,3,"")))</f>
        <v/>
      </c>
      <c r="I366" s="76">
        <f t="shared" si="1"/>
        <v>0</v>
      </c>
    </row>
    <row r="367" ht="14.25" customHeight="1">
      <c r="B367" s="84" t="str">
        <f t="array" ref="B367">IFERROR(INDEX(Activos!$B$3:$C$16, MATCH(C367,Activos!$B$3:$B$16),2),"")</f>
        <v/>
      </c>
      <c r="C367" s="84"/>
      <c r="D367" s="84"/>
      <c r="E367" s="76"/>
      <c r="F367" s="76" t="str">
        <f>IF(E367='Tablas AR'!$B$4,1,IF('Análisis de Riesgos'!E367='Tablas AR'!$B$5,2,IF('Análisis de Riesgos'!E367='Tablas AR'!$B$6,3,"")))</f>
        <v/>
      </c>
      <c r="G367" s="76"/>
      <c r="H367" s="76" t="str">
        <f>IF(G367='Tablas AR'!$B$10,1,IF('Análisis de Riesgos'!G367='Tablas AR'!$B$11,2,IF('Análisis de Riesgos'!G367='Tablas AR'!$B$12,3,"")))</f>
        <v/>
      </c>
      <c r="I367" s="76">
        <f t="shared" si="1"/>
        <v>0</v>
      </c>
    </row>
    <row r="368" ht="14.25" customHeight="1">
      <c r="B368" s="84" t="str">
        <f t="array" ref="B368">IFERROR(INDEX(Activos!$B$3:$C$16, MATCH(C368,Activos!$B$3:$B$16),2),"")</f>
        <v/>
      </c>
      <c r="C368" s="84"/>
      <c r="D368" s="84"/>
      <c r="E368" s="76"/>
      <c r="F368" s="76" t="str">
        <f>IF(E368='Tablas AR'!$B$4,1,IF('Análisis de Riesgos'!E368='Tablas AR'!$B$5,2,IF('Análisis de Riesgos'!E368='Tablas AR'!$B$6,3,"")))</f>
        <v/>
      </c>
      <c r="G368" s="76"/>
      <c r="H368" s="76" t="str">
        <f>IF(G368='Tablas AR'!$B$10,1,IF('Análisis de Riesgos'!G368='Tablas AR'!$B$11,2,IF('Análisis de Riesgos'!G368='Tablas AR'!$B$12,3,"")))</f>
        <v/>
      </c>
      <c r="I368" s="76">
        <f t="shared" si="1"/>
        <v>0</v>
      </c>
    </row>
    <row r="369" ht="14.25" customHeight="1">
      <c r="B369" s="84" t="str">
        <f t="array" ref="B369">IFERROR(INDEX(Activos!$B$3:$C$16, MATCH(C369,Activos!$B$3:$B$16),2),"")</f>
        <v/>
      </c>
      <c r="C369" s="84"/>
      <c r="D369" s="84"/>
      <c r="E369" s="76"/>
      <c r="F369" s="76" t="str">
        <f>IF(E369='Tablas AR'!$B$4,1,IF('Análisis de Riesgos'!E369='Tablas AR'!$B$5,2,IF('Análisis de Riesgos'!E369='Tablas AR'!$B$6,3,"")))</f>
        <v/>
      </c>
      <c r="G369" s="76"/>
      <c r="H369" s="76" t="str">
        <f>IF(G369='Tablas AR'!$B$10,1,IF('Análisis de Riesgos'!G369='Tablas AR'!$B$11,2,IF('Análisis de Riesgos'!G369='Tablas AR'!$B$12,3,"")))</f>
        <v/>
      </c>
      <c r="I369" s="76">
        <f t="shared" si="1"/>
        <v>0</v>
      </c>
    </row>
    <row r="370" ht="14.25" customHeight="1">
      <c r="B370" s="84" t="str">
        <f t="array" ref="B370">IFERROR(INDEX(Activos!$B$3:$C$16, MATCH(C370,Activos!$B$3:$B$16),2),"")</f>
        <v/>
      </c>
      <c r="C370" s="84"/>
      <c r="D370" s="84"/>
      <c r="E370" s="76"/>
      <c r="F370" s="76" t="str">
        <f>IF(E370='Tablas AR'!$B$4,1,IF('Análisis de Riesgos'!E370='Tablas AR'!$B$5,2,IF('Análisis de Riesgos'!E370='Tablas AR'!$B$6,3,"")))</f>
        <v/>
      </c>
      <c r="G370" s="76"/>
      <c r="H370" s="76" t="str">
        <f>IF(G370='Tablas AR'!$B$10,1,IF('Análisis de Riesgos'!G370='Tablas AR'!$B$11,2,IF('Análisis de Riesgos'!G370='Tablas AR'!$B$12,3,"")))</f>
        <v/>
      </c>
      <c r="I370" s="76">
        <f t="shared" si="1"/>
        <v>0</v>
      </c>
    </row>
    <row r="371" ht="14.25" customHeight="1">
      <c r="B371" s="84" t="str">
        <f t="array" ref="B371">IFERROR(INDEX(Activos!$B$3:$C$16, MATCH(C371,Activos!$B$3:$B$16),2),"")</f>
        <v/>
      </c>
      <c r="C371" s="84"/>
      <c r="D371" s="84"/>
      <c r="E371" s="76"/>
      <c r="F371" s="76" t="str">
        <f>IF(E371='Tablas AR'!$B$4,1,IF('Análisis de Riesgos'!E371='Tablas AR'!$B$5,2,IF('Análisis de Riesgos'!E371='Tablas AR'!$B$6,3,"")))</f>
        <v/>
      </c>
      <c r="G371" s="76"/>
      <c r="H371" s="76" t="str">
        <f>IF(G371='Tablas AR'!$B$10,1,IF('Análisis de Riesgos'!G371='Tablas AR'!$B$11,2,IF('Análisis de Riesgos'!G371='Tablas AR'!$B$12,3,"")))</f>
        <v/>
      </c>
      <c r="I371" s="76">
        <f t="shared" si="1"/>
        <v>0</v>
      </c>
    </row>
    <row r="372" ht="14.25" customHeight="1">
      <c r="B372" s="84" t="str">
        <f t="array" ref="B372">IFERROR(INDEX(Activos!$B$3:$C$16, MATCH(C372,Activos!$B$3:$B$16),2),"")</f>
        <v/>
      </c>
      <c r="C372" s="84"/>
      <c r="D372" s="84"/>
      <c r="E372" s="76"/>
      <c r="F372" s="76" t="str">
        <f>IF(E372='Tablas AR'!$B$4,1,IF('Análisis de Riesgos'!E372='Tablas AR'!$B$5,2,IF('Análisis de Riesgos'!E372='Tablas AR'!$B$6,3,"")))</f>
        <v/>
      </c>
      <c r="G372" s="76"/>
      <c r="H372" s="76" t="str">
        <f>IF(G372='Tablas AR'!$B$10,1,IF('Análisis de Riesgos'!G372='Tablas AR'!$B$11,2,IF('Análisis de Riesgos'!G372='Tablas AR'!$B$12,3,"")))</f>
        <v/>
      </c>
      <c r="I372" s="76">
        <f t="shared" si="1"/>
        <v>0</v>
      </c>
    </row>
    <row r="373" ht="14.25" customHeight="1">
      <c r="B373" s="84" t="str">
        <f t="array" ref="B373">IFERROR(INDEX(Activos!$B$3:$C$16, MATCH(C373,Activos!$B$3:$B$16),2),"")</f>
        <v/>
      </c>
      <c r="C373" s="84"/>
      <c r="D373" s="84"/>
      <c r="E373" s="76"/>
      <c r="F373" s="76" t="str">
        <f>IF(E373='Tablas AR'!$B$4,1,IF('Análisis de Riesgos'!E373='Tablas AR'!$B$5,2,IF('Análisis de Riesgos'!E373='Tablas AR'!$B$6,3,"")))</f>
        <v/>
      </c>
      <c r="G373" s="76"/>
      <c r="H373" s="76" t="str">
        <f>IF(G373='Tablas AR'!$B$10,1,IF('Análisis de Riesgos'!G373='Tablas AR'!$B$11,2,IF('Análisis de Riesgos'!G373='Tablas AR'!$B$12,3,"")))</f>
        <v/>
      </c>
      <c r="I373" s="76">
        <f t="shared" si="1"/>
        <v>0</v>
      </c>
    </row>
    <row r="374" ht="14.25" customHeight="1">
      <c r="B374" s="84" t="str">
        <f t="array" ref="B374">IFERROR(INDEX(Activos!$B$3:$C$16, MATCH(C374,Activos!$B$3:$B$16),2),"")</f>
        <v/>
      </c>
      <c r="C374" s="84"/>
      <c r="D374" s="84"/>
      <c r="E374" s="76"/>
      <c r="F374" s="76" t="str">
        <f>IF(E374='Tablas AR'!$B$4,1,IF('Análisis de Riesgos'!E374='Tablas AR'!$B$5,2,IF('Análisis de Riesgos'!E374='Tablas AR'!$B$6,3,"")))</f>
        <v/>
      </c>
      <c r="G374" s="76"/>
      <c r="H374" s="76" t="str">
        <f>IF(G374='Tablas AR'!$B$10,1,IF('Análisis de Riesgos'!G374='Tablas AR'!$B$11,2,IF('Análisis de Riesgos'!G374='Tablas AR'!$B$12,3,"")))</f>
        <v/>
      </c>
      <c r="I374" s="76">
        <f t="shared" si="1"/>
        <v>0</v>
      </c>
    </row>
    <row r="375" ht="14.25" customHeight="1">
      <c r="B375" s="84" t="str">
        <f t="array" ref="B375">IFERROR(INDEX(Activos!$B$3:$C$16, MATCH(C375,Activos!$B$3:$B$16),2),"")</f>
        <v/>
      </c>
      <c r="C375" s="84"/>
      <c r="D375" s="84"/>
      <c r="E375" s="76"/>
      <c r="F375" s="76" t="str">
        <f>IF(E375='Tablas AR'!$B$4,1,IF('Análisis de Riesgos'!E375='Tablas AR'!$B$5,2,IF('Análisis de Riesgos'!E375='Tablas AR'!$B$6,3,"")))</f>
        <v/>
      </c>
      <c r="G375" s="76"/>
      <c r="H375" s="76" t="str">
        <f>IF(G375='Tablas AR'!$B$10,1,IF('Análisis de Riesgos'!G375='Tablas AR'!$B$11,2,IF('Análisis de Riesgos'!G375='Tablas AR'!$B$12,3,"")))</f>
        <v/>
      </c>
      <c r="I375" s="76">
        <f t="shared" si="1"/>
        <v>0</v>
      </c>
    </row>
    <row r="376" ht="14.25" customHeight="1">
      <c r="B376" s="84" t="str">
        <f t="array" ref="B376">IFERROR(INDEX(Activos!$B$3:$C$16, MATCH(C376,Activos!$B$3:$B$16),2),"")</f>
        <v/>
      </c>
      <c r="C376" s="84"/>
      <c r="D376" s="84"/>
      <c r="E376" s="76"/>
      <c r="F376" s="76" t="str">
        <f>IF(E376='Tablas AR'!$B$4,1,IF('Análisis de Riesgos'!E376='Tablas AR'!$B$5,2,IF('Análisis de Riesgos'!E376='Tablas AR'!$B$6,3,"")))</f>
        <v/>
      </c>
      <c r="G376" s="76"/>
      <c r="H376" s="76" t="str">
        <f>IF(G376='Tablas AR'!$B$10,1,IF('Análisis de Riesgos'!G376='Tablas AR'!$B$11,2,IF('Análisis de Riesgos'!G376='Tablas AR'!$B$12,3,"")))</f>
        <v/>
      </c>
      <c r="I376" s="76">
        <f t="shared" si="1"/>
        <v>0</v>
      </c>
    </row>
    <row r="377" ht="14.25" customHeight="1">
      <c r="B377" s="84" t="str">
        <f t="array" ref="B377">IFERROR(INDEX(Activos!$B$3:$C$16, MATCH(C377,Activos!$B$3:$B$16),2),"")</f>
        <v/>
      </c>
      <c r="C377" s="84"/>
      <c r="D377" s="84"/>
      <c r="E377" s="76"/>
      <c r="F377" s="76" t="str">
        <f>IF(E377='Tablas AR'!$B$4,1,IF('Análisis de Riesgos'!E377='Tablas AR'!$B$5,2,IF('Análisis de Riesgos'!E377='Tablas AR'!$B$6,3,"")))</f>
        <v/>
      </c>
      <c r="G377" s="76"/>
      <c r="H377" s="76" t="str">
        <f>IF(G377='Tablas AR'!$B$10,1,IF('Análisis de Riesgos'!G377='Tablas AR'!$B$11,2,IF('Análisis de Riesgos'!G377='Tablas AR'!$B$12,3,"")))</f>
        <v/>
      </c>
      <c r="I377" s="76">
        <f t="shared" si="1"/>
        <v>0</v>
      </c>
    </row>
    <row r="378" ht="14.25" customHeight="1">
      <c r="B378" s="84" t="str">
        <f t="array" ref="B378">IFERROR(INDEX(Activos!$B$3:$C$16, MATCH(C378,Activos!$B$3:$B$16),2),"")</f>
        <v/>
      </c>
      <c r="C378" s="84"/>
      <c r="D378" s="84"/>
      <c r="E378" s="76"/>
      <c r="F378" s="76" t="str">
        <f>IF(E378='Tablas AR'!$B$4,1,IF('Análisis de Riesgos'!E378='Tablas AR'!$B$5,2,IF('Análisis de Riesgos'!E378='Tablas AR'!$B$6,3,"")))</f>
        <v/>
      </c>
      <c r="G378" s="76"/>
      <c r="H378" s="76" t="str">
        <f>IF(G378='Tablas AR'!$B$10,1,IF('Análisis de Riesgos'!G378='Tablas AR'!$B$11,2,IF('Análisis de Riesgos'!G378='Tablas AR'!$B$12,3,"")))</f>
        <v/>
      </c>
      <c r="I378" s="76">
        <f t="shared" si="1"/>
        <v>0</v>
      </c>
    </row>
    <row r="379" ht="14.25" customHeight="1">
      <c r="B379" s="84" t="str">
        <f t="array" ref="B379">IFERROR(INDEX(Activos!$B$3:$C$16, MATCH(C379,Activos!$B$3:$B$16),2),"")</f>
        <v/>
      </c>
      <c r="C379" s="84"/>
      <c r="D379" s="84"/>
      <c r="E379" s="76"/>
      <c r="F379" s="76" t="str">
        <f>IF(E379='Tablas AR'!$B$4,1,IF('Análisis de Riesgos'!E379='Tablas AR'!$B$5,2,IF('Análisis de Riesgos'!E379='Tablas AR'!$B$6,3,"")))</f>
        <v/>
      </c>
      <c r="G379" s="76"/>
      <c r="H379" s="76" t="str">
        <f>IF(G379='Tablas AR'!$B$10,1,IF('Análisis de Riesgos'!G379='Tablas AR'!$B$11,2,IF('Análisis de Riesgos'!G379='Tablas AR'!$B$12,3,"")))</f>
        <v/>
      </c>
      <c r="I379" s="76">
        <f t="shared" si="1"/>
        <v>0</v>
      </c>
    </row>
    <row r="380" ht="14.25" customHeight="1">
      <c r="B380" s="84" t="str">
        <f t="array" ref="B380">IFERROR(INDEX(Activos!$B$3:$C$16, MATCH(C380,Activos!$B$3:$B$16),2),"")</f>
        <v/>
      </c>
      <c r="C380" s="84"/>
      <c r="D380" s="84"/>
      <c r="E380" s="76"/>
      <c r="F380" s="76" t="str">
        <f>IF(E380='Tablas AR'!$B$4,1,IF('Análisis de Riesgos'!E380='Tablas AR'!$B$5,2,IF('Análisis de Riesgos'!E380='Tablas AR'!$B$6,3,"")))</f>
        <v/>
      </c>
      <c r="G380" s="76"/>
      <c r="H380" s="76" t="str">
        <f>IF(G380='Tablas AR'!$B$10,1,IF('Análisis de Riesgos'!G380='Tablas AR'!$B$11,2,IF('Análisis de Riesgos'!G380='Tablas AR'!$B$12,3,"")))</f>
        <v/>
      </c>
      <c r="I380" s="76">
        <f t="shared" si="1"/>
        <v>0</v>
      </c>
    </row>
    <row r="381" ht="14.25" customHeight="1">
      <c r="B381" s="84" t="str">
        <f t="array" ref="B381">IFERROR(INDEX(Activos!$B$3:$C$16, MATCH(C381,Activos!$B$3:$B$16),2),"")</f>
        <v/>
      </c>
      <c r="C381" s="84"/>
      <c r="D381" s="84"/>
      <c r="E381" s="76"/>
      <c r="F381" s="76" t="str">
        <f>IF(E381='Tablas AR'!$B$4,1,IF('Análisis de Riesgos'!E381='Tablas AR'!$B$5,2,IF('Análisis de Riesgos'!E381='Tablas AR'!$B$6,3,"")))</f>
        <v/>
      </c>
      <c r="G381" s="76"/>
      <c r="H381" s="76" t="str">
        <f>IF(G381='Tablas AR'!$B$10,1,IF('Análisis de Riesgos'!G381='Tablas AR'!$B$11,2,IF('Análisis de Riesgos'!G381='Tablas AR'!$B$12,3,"")))</f>
        <v/>
      </c>
      <c r="I381" s="76">
        <f t="shared" si="1"/>
        <v>0</v>
      </c>
    </row>
    <row r="382" ht="14.25" customHeight="1">
      <c r="B382" s="84" t="str">
        <f t="array" ref="B382">IFERROR(INDEX(Activos!$B$3:$C$16, MATCH(C382,Activos!$B$3:$B$16),2),"")</f>
        <v/>
      </c>
      <c r="C382" s="84"/>
      <c r="D382" s="84"/>
      <c r="E382" s="76"/>
      <c r="F382" s="76" t="str">
        <f>IF(E382='Tablas AR'!$B$4,1,IF('Análisis de Riesgos'!E382='Tablas AR'!$B$5,2,IF('Análisis de Riesgos'!E382='Tablas AR'!$B$6,3,"")))</f>
        <v/>
      </c>
      <c r="G382" s="76"/>
      <c r="H382" s="76" t="str">
        <f>IF(G382='Tablas AR'!$B$10,1,IF('Análisis de Riesgos'!G382='Tablas AR'!$B$11,2,IF('Análisis de Riesgos'!G382='Tablas AR'!$B$12,3,"")))</f>
        <v/>
      </c>
      <c r="I382" s="76">
        <f t="shared" si="1"/>
        <v>0</v>
      </c>
    </row>
    <row r="383" ht="14.25" customHeight="1">
      <c r="B383" s="84" t="str">
        <f t="array" ref="B383">IFERROR(INDEX(Activos!$B$3:$C$16, MATCH(C383,Activos!$B$3:$B$16),2),"")</f>
        <v/>
      </c>
      <c r="C383" s="84"/>
      <c r="D383" s="84"/>
      <c r="E383" s="76"/>
      <c r="F383" s="76" t="str">
        <f>IF(E383='Tablas AR'!$B$4,1,IF('Análisis de Riesgos'!E383='Tablas AR'!$B$5,2,IF('Análisis de Riesgos'!E383='Tablas AR'!$B$6,3,"")))</f>
        <v/>
      </c>
      <c r="G383" s="76"/>
      <c r="H383" s="76" t="str">
        <f>IF(G383='Tablas AR'!$B$10,1,IF('Análisis de Riesgos'!G383='Tablas AR'!$B$11,2,IF('Análisis de Riesgos'!G383='Tablas AR'!$B$12,3,"")))</f>
        <v/>
      </c>
      <c r="I383" s="76">
        <f t="shared" si="1"/>
        <v>0</v>
      </c>
    </row>
    <row r="384" ht="14.25" customHeight="1">
      <c r="B384" s="84" t="str">
        <f t="array" ref="B384">IFERROR(INDEX(Activos!$B$3:$C$16, MATCH(C384,Activos!$B$3:$B$16),2),"")</f>
        <v/>
      </c>
      <c r="C384" s="84"/>
      <c r="D384" s="84"/>
      <c r="E384" s="76"/>
      <c r="F384" s="76" t="str">
        <f>IF(E384='Tablas AR'!$B$4,1,IF('Análisis de Riesgos'!E384='Tablas AR'!$B$5,2,IF('Análisis de Riesgos'!E384='Tablas AR'!$B$6,3,"")))</f>
        <v/>
      </c>
      <c r="G384" s="76"/>
      <c r="H384" s="76" t="str">
        <f>IF(G384='Tablas AR'!$B$10,1,IF('Análisis de Riesgos'!G384='Tablas AR'!$B$11,2,IF('Análisis de Riesgos'!G384='Tablas AR'!$B$12,3,"")))</f>
        <v/>
      </c>
      <c r="I384" s="76">
        <f t="shared" si="1"/>
        <v>0</v>
      </c>
    </row>
    <row r="385" ht="14.25" customHeight="1">
      <c r="B385" s="84" t="str">
        <f t="array" ref="B385">IFERROR(INDEX(Activos!$B$3:$C$16, MATCH(C385,Activos!$B$3:$B$16),2),"")</f>
        <v/>
      </c>
      <c r="C385" s="84"/>
      <c r="D385" s="84"/>
      <c r="E385" s="76"/>
      <c r="F385" s="76" t="str">
        <f>IF(E385='Tablas AR'!$B$4,1,IF('Análisis de Riesgos'!E385='Tablas AR'!$B$5,2,IF('Análisis de Riesgos'!E385='Tablas AR'!$B$6,3,"")))</f>
        <v/>
      </c>
      <c r="G385" s="76"/>
      <c r="H385" s="76" t="str">
        <f>IF(G385='Tablas AR'!$B$10,1,IF('Análisis de Riesgos'!G385='Tablas AR'!$B$11,2,IF('Análisis de Riesgos'!G385='Tablas AR'!$B$12,3,"")))</f>
        <v/>
      </c>
      <c r="I385" s="76">
        <f t="shared" si="1"/>
        <v>0</v>
      </c>
    </row>
    <row r="386" ht="14.25" customHeight="1">
      <c r="B386" s="84" t="str">
        <f t="array" ref="B386">IFERROR(INDEX(Activos!$B$3:$C$16, MATCH(C386,Activos!$B$3:$B$16),2),"")</f>
        <v/>
      </c>
      <c r="C386" s="84"/>
      <c r="D386" s="84"/>
      <c r="E386" s="76"/>
      <c r="F386" s="76" t="str">
        <f>IF(E386='Tablas AR'!$B$4,1,IF('Análisis de Riesgos'!E386='Tablas AR'!$B$5,2,IF('Análisis de Riesgos'!E386='Tablas AR'!$B$6,3,"")))</f>
        <v/>
      </c>
      <c r="G386" s="76"/>
      <c r="H386" s="76" t="str">
        <f>IF(G386='Tablas AR'!$B$10,1,IF('Análisis de Riesgos'!G386='Tablas AR'!$B$11,2,IF('Análisis de Riesgos'!G386='Tablas AR'!$B$12,3,"")))</f>
        <v/>
      </c>
      <c r="I386" s="76">
        <f t="shared" si="1"/>
        <v>0</v>
      </c>
    </row>
    <row r="387" ht="14.25" customHeight="1">
      <c r="B387" s="84" t="str">
        <f t="array" ref="B387">IFERROR(INDEX(Activos!$B$3:$C$16, MATCH(C387,Activos!$B$3:$B$16),2),"")</f>
        <v/>
      </c>
      <c r="C387" s="84"/>
      <c r="D387" s="84"/>
      <c r="E387" s="76"/>
      <c r="F387" s="76" t="str">
        <f>IF(E387='Tablas AR'!$B$4,1,IF('Análisis de Riesgos'!E387='Tablas AR'!$B$5,2,IF('Análisis de Riesgos'!E387='Tablas AR'!$B$6,3,"")))</f>
        <v/>
      </c>
      <c r="G387" s="76"/>
      <c r="H387" s="76" t="str">
        <f>IF(G387='Tablas AR'!$B$10,1,IF('Análisis de Riesgos'!G387='Tablas AR'!$B$11,2,IF('Análisis de Riesgos'!G387='Tablas AR'!$B$12,3,"")))</f>
        <v/>
      </c>
      <c r="I387" s="76">
        <f t="shared" si="1"/>
        <v>0</v>
      </c>
    </row>
    <row r="388" ht="14.25" customHeight="1">
      <c r="B388" s="84" t="str">
        <f t="array" ref="B388">IFERROR(INDEX(Activos!$B$3:$C$16, MATCH(C388,Activos!$B$3:$B$16),2),"")</f>
        <v/>
      </c>
      <c r="C388" s="84"/>
      <c r="D388" s="84"/>
      <c r="E388" s="76"/>
      <c r="F388" s="76" t="str">
        <f>IF(E388='Tablas AR'!$B$4,1,IF('Análisis de Riesgos'!E388='Tablas AR'!$B$5,2,IF('Análisis de Riesgos'!E388='Tablas AR'!$B$6,3,"")))</f>
        <v/>
      </c>
      <c r="G388" s="76"/>
      <c r="H388" s="76" t="str">
        <f>IF(G388='Tablas AR'!$B$10,1,IF('Análisis de Riesgos'!G388='Tablas AR'!$B$11,2,IF('Análisis de Riesgos'!G388='Tablas AR'!$B$12,3,"")))</f>
        <v/>
      </c>
      <c r="I388" s="76">
        <f t="shared" si="1"/>
        <v>0</v>
      </c>
    </row>
    <row r="389" ht="14.25" customHeight="1">
      <c r="B389" s="84" t="str">
        <f t="array" ref="B389">IFERROR(INDEX(Activos!$B$3:$C$16, MATCH(C389,Activos!$B$3:$B$16),2),"")</f>
        <v/>
      </c>
      <c r="C389" s="84"/>
      <c r="D389" s="84"/>
      <c r="E389" s="76"/>
      <c r="F389" s="76" t="str">
        <f>IF(E389='Tablas AR'!$B$4,1,IF('Análisis de Riesgos'!E389='Tablas AR'!$B$5,2,IF('Análisis de Riesgos'!E389='Tablas AR'!$B$6,3,"")))</f>
        <v/>
      </c>
      <c r="G389" s="76"/>
      <c r="H389" s="76" t="str">
        <f>IF(G389='Tablas AR'!$B$10,1,IF('Análisis de Riesgos'!G389='Tablas AR'!$B$11,2,IF('Análisis de Riesgos'!G389='Tablas AR'!$B$12,3,"")))</f>
        <v/>
      </c>
      <c r="I389" s="76">
        <f t="shared" si="1"/>
        <v>0</v>
      </c>
    </row>
    <row r="390" ht="14.25" customHeight="1">
      <c r="B390" s="84" t="str">
        <f t="array" ref="B390">IFERROR(INDEX(Activos!$B$3:$C$16, MATCH(C390,Activos!$B$3:$B$16),2),"")</f>
        <v/>
      </c>
      <c r="C390" s="84"/>
      <c r="D390" s="84"/>
      <c r="E390" s="76"/>
      <c r="F390" s="76" t="str">
        <f>IF(E390='Tablas AR'!$B$4,1,IF('Análisis de Riesgos'!E390='Tablas AR'!$B$5,2,IF('Análisis de Riesgos'!E390='Tablas AR'!$B$6,3,"")))</f>
        <v/>
      </c>
      <c r="G390" s="76"/>
      <c r="H390" s="76" t="str">
        <f>IF(G390='Tablas AR'!$B$10,1,IF('Análisis de Riesgos'!G390='Tablas AR'!$B$11,2,IF('Análisis de Riesgos'!G390='Tablas AR'!$B$12,3,"")))</f>
        <v/>
      </c>
      <c r="I390" s="76">
        <f t="shared" si="1"/>
        <v>0</v>
      </c>
    </row>
    <row r="391" ht="14.25" customHeight="1">
      <c r="B391" s="84" t="str">
        <f t="array" ref="B391">IFERROR(INDEX(Activos!$B$3:$C$16, MATCH(C391,Activos!$B$3:$B$16),2),"")</f>
        <v/>
      </c>
      <c r="C391" s="84"/>
      <c r="D391" s="84"/>
      <c r="E391" s="76"/>
      <c r="F391" s="76" t="str">
        <f>IF(E391='Tablas AR'!$B$4,1,IF('Análisis de Riesgos'!E391='Tablas AR'!$B$5,2,IF('Análisis de Riesgos'!E391='Tablas AR'!$B$6,3,"")))</f>
        <v/>
      </c>
      <c r="G391" s="76"/>
      <c r="H391" s="76" t="str">
        <f>IF(G391='Tablas AR'!$B$10,1,IF('Análisis de Riesgos'!G391='Tablas AR'!$B$11,2,IF('Análisis de Riesgos'!G391='Tablas AR'!$B$12,3,"")))</f>
        <v/>
      </c>
      <c r="I391" s="76">
        <f t="shared" si="1"/>
        <v>0</v>
      </c>
    </row>
    <row r="392" ht="14.25" customHeight="1">
      <c r="B392" s="84" t="str">
        <f t="array" ref="B392">IFERROR(INDEX(Activos!$B$3:$C$16, MATCH(C392,Activos!$B$3:$B$16),2),"")</f>
        <v/>
      </c>
      <c r="C392" s="84"/>
      <c r="D392" s="84"/>
      <c r="E392" s="76"/>
      <c r="F392" s="76" t="str">
        <f>IF(E392='Tablas AR'!$B$4,1,IF('Análisis de Riesgos'!E392='Tablas AR'!$B$5,2,IF('Análisis de Riesgos'!E392='Tablas AR'!$B$6,3,"")))</f>
        <v/>
      </c>
      <c r="G392" s="76"/>
      <c r="H392" s="76" t="str">
        <f>IF(G392='Tablas AR'!$B$10,1,IF('Análisis de Riesgos'!G392='Tablas AR'!$B$11,2,IF('Análisis de Riesgos'!G392='Tablas AR'!$B$12,3,"")))</f>
        <v/>
      </c>
      <c r="I392" s="76">
        <f t="shared" si="1"/>
        <v>0</v>
      </c>
    </row>
    <row r="393" ht="14.25" customHeight="1">
      <c r="B393" s="84" t="str">
        <f t="array" ref="B393">IFERROR(INDEX(Activos!$B$3:$C$16, MATCH(C393,Activos!$B$3:$B$16),2),"")</f>
        <v/>
      </c>
      <c r="C393" s="84"/>
      <c r="D393" s="84"/>
      <c r="E393" s="76"/>
      <c r="F393" s="76" t="str">
        <f>IF(E393='Tablas AR'!$B$4,1,IF('Análisis de Riesgos'!E393='Tablas AR'!$B$5,2,IF('Análisis de Riesgos'!E393='Tablas AR'!$B$6,3,"")))</f>
        <v/>
      </c>
      <c r="G393" s="76"/>
      <c r="H393" s="76" t="str">
        <f>IF(G393='Tablas AR'!$B$10,1,IF('Análisis de Riesgos'!G393='Tablas AR'!$B$11,2,IF('Análisis de Riesgos'!G393='Tablas AR'!$B$12,3,"")))</f>
        <v/>
      </c>
      <c r="I393" s="76">
        <f t="shared" si="1"/>
        <v>0</v>
      </c>
    </row>
    <row r="394" ht="14.25" customHeight="1">
      <c r="B394" s="84" t="str">
        <f t="array" ref="B394">IFERROR(INDEX(Activos!$B$3:$C$16, MATCH(C394,Activos!$B$3:$B$16),2),"")</f>
        <v/>
      </c>
      <c r="C394" s="84"/>
      <c r="D394" s="84"/>
      <c r="E394" s="76"/>
      <c r="F394" s="76" t="str">
        <f>IF(E394='Tablas AR'!$B$4,1,IF('Análisis de Riesgos'!E394='Tablas AR'!$B$5,2,IF('Análisis de Riesgos'!E394='Tablas AR'!$B$6,3,"")))</f>
        <v/>
      </c>
      <c r="G394" s="76"/>
      <c r="H394" s="76" t="str">
        <f>IF(G394='Tablas AR'!$B$10,1,IF('Análisis de Riesgos'!G394='Tablas AR'!$B$11,2,IF('Análisis de Riesgos'!G394='Tablas AR'!$B$12,3,"")))</f>
        <v/>
      </c>
      <c r="I394" s="76">
        <f t="shared" si="1"/>
        <v>0</v>
      </c>
    </row>
    <row r="395" ht="14.25" customHeight="1">
      <c r="B395" s="84" t="str">
        <f t="array" ref="B395">IFERROR(INDEX(Activos!$B$3:$C$16, MATCH(C395,Activos!$B$3:$B$16),2),"")</f>
        <v/>
      </c>
      <c r="C395" s="84"/>
      <c r="D395" s="84"/>
      <c r="E395" s="76"/>
      <c r="F395" s="76" t="str">
        <f>IF(E395='Tablas AR'!$B$4,1,IF('Análisis de Riesgos'!E395='Tablas AR'!$B$5,2,IF('Análisis de Riesgos'!E395='Tablas AR'!$B$6,3,"")))</f>
        <v/>
      </c>
      <c r="G395" s="76"/>
      <c r="H395" s="76" t="str">
        <f>IF(G395='Tablas AR'!$B$10,1,IF('Análisis de Riesgos'!G395='Tablas AR'!$B$11,2,IF('Análisis de Riesgos'!G395='Tablas AR'!$B$12,3,"")))</f>
        <v/>
      </c>
      <c r="I395" s="76">
        <f t="shared" si="1"/>
        <v>0</v>
      </c>
    </row>
    <row r="396" ht="14.25" customHeight="1">
      <c r="B396" s="84" t="str">
        <f t="array" ref="B396">IFERROR(INDEX(Activos!$B$3:$C$16, MATCH(C396,Activos!$B$3:$B$16),2),"")</f>
        <v/>
      </c>
      <c r="C396" s="84"/>
      <c r="D396" s="84"/>
      <c r="E396" s="76"/>
      <c r="F396" s="76" t="str">
        <f>IF(E396='Tablas AR'!$B$4,1,IF('Análisis de Riesgos'!E396='Tablas AR'!$B$5,2,IF('Análisis de Riesgos'!E396='Tablas AR'!$B$6,3,"")))</f>
        <v/>
      </c>
      <c r="G396" s="76"/>
      <c r="H396" s="76" t="str">
        <f>IF(G396='Tablas AR'!$B$10,1,IF('Análisis de Riesgos'!G396='Tablas AR'!$B$11,2,IF('Análisis de Riesgos'!G396='Tablas AR'!$B$12,3,"")))</f>
        <v/>
      </c>
      <c r="I396" s="76">
        <f t="shared" si="1"/>
        <v>0</v>
      </c>
    </row>
    <row r="397" ht="14.25" customHeight="1">
      <c r="B397" s="84" t="str">
        <f t="array" ref="B397">IFERROR(INDEX(Activos!$B$3:$C$16, MATCH(C397,Activos!$B$3:$B$16),2),"")</f>
        <v/>
      </c>
      <c r="C397" s="84"/>
      <c r="D397" s="84"/>
      <c r="E397" s="76"/>
      <c r="F397" s="76" t="str">
        <f>IF(E397='Tablas AR'!$B$4,1,IF('Análisis de Riesgos'!E397='Tablas AR'!$B$5,2,IF('Análisis de Riesgos'!E397='Tablas AR'!$B$6,3,"")))</f>
        <v/>
      </c>
      <c r="G397" s="76"/>
      <c r="H397" s="76" t="str">
        <f>IF(G397='Tablas AR'!$B$10,1,IF('Análisis de Riesgos'!G397='Tablas AR'!$B$11,2,IF('Análisis de Riesgos'!G397='Tablas AR'!$B$12,3,"")))</f>
        <v/>
      </c>
      <c r="I397" s="76">
        <f t="shared" si="1"/>
        <v>0</v>
      </c>
    </row>
    <row r="398" ht="14.25" customHeight="1">
      <c r="B398" s="84" t="str">
        <f t="array" ref="B398">IFERROR(INDEX(Activos!$B$3:$C$16, MATCH(C398,Activos!$B$3:$B$16),2),"")</f>
        <v/>
      </c>
      <c r="C398" s="84"/>
      <c r="D398" s="84"/>
      <c r="E398" s="76"/>
      <c r="F398" s="76" t="str">
        <f>IF(E398='Tablas AR'!$B$4,1,IF('Análisis de Riesgos'!E398='Tablas AR'!$B$5,2,IF('Análisis de Riesgos'!E398='Tablas AR'!$B$6,3,"")))</f>
        <v/>
      </c>
      <c r="G398" s="76"/>
      <c r="H398" s="76" t="str">
        <f>IF(G398='Tablas AR'!$B$10,1,IF('Análisis de Riesgos'!G398='Tablas AR'!$B$11,2,IF('Análisis de Riesgos'!G398='Tablas AR'!$B$12,3,"")))</f>
        <v/>
      </c>
      <c r="I398" s="76">
        <f t="shared" si="1"/>
        <v>0</v>
      </c>
    </row>
    <row r="399" ht="14.25" customHeight="1">
      <c r="B399" s="84" t="str">
        <f t="array" ref="B399">IFERROR(INDEX(Activos!$B$3:$C$16, MATCH(C399,Activos!$B$3:$B$16),2),"")</f>
        <v/>
      </c>
      <c r="C399" s="84"/>
      <c r="D399" s="84"/>
      <c r="E399" s="76"/>
      <c r="F399" s="76" t="str">
        <f>IF(E399='Tablas AR'!$B$4,1,IF('Análisis de Riesgos'!E399='Tablas AR'!$B$5,2,IF('Análisis de Riesgos'!E399='Tablas AR'!$B$6,3,"")))</f>
        <v/>
      </c>
      <c r="G399" s="76"/>
      <c r="H399" s="76" t="str">
        <f>IF(G399='Tablas AR'!$B$10,1,IF('Análisis de Riesgos'!G399='Tablas AR'!$B$11,2,IF('Análisis de Riesgos'!G399='Tablas AR'!$B$12,3,"")))</f>
        <v/>
      </c>
      <c r="I399" s="76">
        <f t="shared" si="1"/>
        <v>0</v>
      </c>
    </row>
    <row r="400" ht="14.25" customHeight="1">
      <c r="B400" s="84" t="str">
        <f t="array" ref="B400">IFERROR(INDEX(Activos!$B$3:$C$16, MATCH(C400,Activos!$B$3:$B$16),2),"")</f>
        <v/>
      </c>
      <c r="C400" s="84"/>
      <c r="D400" s="84"/>
      <c r="E400" s="76"/>
      <c r="F400" s="76" t="str">
        <f>IF(E400='Tablas AR'!$B$4,1,IF('Análisis de Riesgos'!E400='Tablas AR'!$B$5,2,IF('Análisis de Riesgos'!E400='Tablas AR'!$B$6,3,"")))</f>
        <v/>
      </c>
      <c r="G400" s="76"/>
      <c r="H400" s="76" t="str">
        <f>IF(G400='Tablas AR'!$B$10,1,IF('Análisis de Riesgos'!G400='Tablas AR'!$B$11,2,IF('Análisis de Riesgos'!G400='Tablas AR'!$B$12,3,"")))</f>
        <v/>
      </c>
      <c r="I400" s="76">
        <f t="shared" si="1"/>
        <v>0</v>
      </c>
    </row>
    <row r="401" ht="14.25" customHeight="1">
      <c r="B401" s="84" t="str">
        <f t="array" ref="B401">IFERROR(INDEX(Activos!$B$3:$C$16, MATCH(C401,Activos!$B$3:$B$16),2),"")</f>
        <v/>
      </c>
      <c r="C401" s="84"/>
      <c r="D401" s="84"/>
      <c r="E401" s="76"/>
      <c r="F401" s="76" t="str">
        <f>IF(E401='Tablas AR'!$B$4,1,IF('Análisis de Riesgos'!E401='Tablas AR'!$B$5,2,IF('Análisis de Riesgos'!E401='Tablas AR'!$B$6,3,"")))</f>
        <v/>
      </c>
      <c r="G401" s="76"/>
      <c r="H401" s="76" t="str">
        <f>IF(G401='Tablas AR'!$B$10,1,IF('Análisis de Riesgos'!G401='Tablas AR'!$B$11,2,IF('Análisis de Riesgos'!G401='Tablas AR'!$B$12,3,"")))</f>
        <v/>
      </c>
      <c r="I401" s="76">
        <f t="shared" si="1"/>
        <v>0</v>
      </c>
    </row>
    <row r="402" ht="14.25" customHeight="1">
      <c r="B402" s="84" t="str">
        <f t="array" ref="B402">IFERROR(INDEX(Activos!$B$3:$C$16, MATCH(C402,Activos!$B$3:$B$16),2),"")</f>
        <v/>
      </c>
      <c r="C402" s="84"/>
      <c r="D402" s="84"/>
      <c r="E402" s="76"/>
      <c r="F402" s="76" t="str">
        <f>IF(E402='Tablas AR'!$B$4,1,IF('Análisis de Riesgos'!E402='Tablas AR'!$B$5,2,IF('Análisis de Riesgos'!E402='Tablas AR'!$B$6,3,"")))</f>
        <v/>
      </c>
      <c r="G402" s="76"/>
      <c r="H402" s="76" t="str">
        <f>IF(G402='Tablas AR'!$B$10,1,IF('Análisis de Riesgos'!G402='Tablas AR'!$B$11,2,IF('Análisis de Riesgos'!G402='Tablas AR'!$B$12,3,"")))</f>
        <v/>
      </c>
      <c r="I402" s="76">
        <f t="shared" si="1"/>
        <v>0</v>
      </c>
    </row>
    <row r="403" ht="14.25" customHeight="1">
      <c r="B403" s="84" t="str">
        <f t="array" ref="B403">IFERROR(INDEX(Activos!$B$3:$C$16, MATCH(C403,Activos!$B$3:$B$16),2),"")</f>
        <v/>
      </c>
      <c r="C403" s="84"/>
      <c r="D403" s="84"/>
      <c r="E403" s="76"/>
      <c r="F403" s="76" t="str">
        <f>IF(E403='Tablas AR'!$B$4,1,IF('Análisis de Riesgos'!E403='Tablas AR'!$B$5,2,IF('Análisis de Riesgos'!E403='Tablas AR'!$B$6,3,"")))</f>
        <v/>
      </c>
      <c r="G403" s="76"/>
      <c r="H403" s="76" t="str">
        <f>IF(G403='Tablas AR'!$B$10,1,IF('Análisis de Riesgos'!G403='Tablas AR'!$B$11,2,IF('Análisis de Riesgos'!G403='Tablas AR'!$B$12,3,"")))</f>
        <v/>
      </c>
      <c r="I403" s="76">
        <f t="shared" si="1"/>
        <v>0</v>
      </c>
    </row>
    <row r="404" ht="14.25" customHeight="1">
      <c r="B404" s="84" t="str">
        <f t="array" ref="B404">IFERROR(INDEX(Activos!$B$3:$C$16, MATCH(C404,Activos!$B$3:$B$16),2),"")</f>
        <v/>
      </c>
      <c r="C404" s="84"/>
      <c r="D404" s="84"/>
      <c r="E404" s="76"/>
      <c r="F404" s="76" t="str">
        <f>IF(E404='Tablas AR'!$B$4,1,IF('Análisis de Riesgos'!E404='Tablas AR'!$B$5,2,IF('Análisis de Riesgos'!E404='Tablas AR'!$B$6,3,"")))</f>
        <v/>
      </c>
      <c r="G404" s="76"/>
      <c r="H404" s="76" t="str">
        <f>IF(G404='Tablas AR'!$B$10,1,IF('Análisis de Riesgos'!G404='Tablas AR'!$B$11,2,IF('Análisis de Riesgos'!G404='Tablas AR'!$B$12,3,"")))</f>
        <v/>
      </c>
      <c r="I404" s="76">
        <f t="shared" si="1"/>
        <v>0</v>
      </c>
    </row>
    <row r="405" ht="14.25" customHeight="1">
      <c r="B405" s="84" t="str">
        <f t="array" ref="B405">IFERROR(INDEX(Activos!$B$3:$C$16, MATCH(C405,Activos!$B$3:$B$16),2),"")</f>
        <v/>
      </c>
      <c r="C405" s="84"/>
      <c r="D405" s="84"/>
      <c r="E405" s="76"/>
      <c r="F405" s="76" t="str">
        <f>IF(E405='Tablas AR'!$B$4,1,IF('Análisis de Riesgos'!E405='Tablas AR'!$B$5,2,IF('Análisis de Riesgos'!E405='Tablas AR'!$B$6,3,"")))</f>
        <v/>
      </c>
      <c r="G405" s="76"/>
      <c r="H405" s="76" t="str">
        <f>IF(G405='Tablas AR'!$B$10,1,IF('Análisis de Riesgos'!G405='Tablas AR'!$B$11,2,IF('Análisis de Riesgos'!G405='Tablas AR'!$B$12,3,"")))</f>
        <v/>
      </c>
      <c r="I405" s="76">
        <f t="shared" si="1"/>
        <v>0</v>
      </c>
    </row>
    <row r="406" ht="14.25" customHeight="1">
      <c r="B406" s="84" t="str">
        <f t="array" ref="B406">IFERROR(INDEX(Activos!$B$3:$C$16, MATCH(C406,Activos!$B$3:$B$16),2),"")</f>
        <v/>
      </c>
      <c r="C406" s="84"/>
      <c r="D406" s="84"/>
      <c r="E406" s="76"/>
      <c r="F406" s="76" t="str">
        <f>IF(E406='Tablas AR'!$B$4,1,IF('Análisis de Riesgos'!E406='Tablas AR'!$B$5,2,IF('Análisis de Riesgos'!E406='Tablas AR'!$B$6,3,"")))</f>
        <v/>
      </c>
      <c r="G406" s="76"/>
      <c r="H406" s="76" t="str">
        <f>IF(G406='Tablas AR'!$B$10,1,IF('Análisis de Riesgos'!G406='Tablas AR'!$B$11,2,IF('Análisis de Riesgos'!G406='Tablas AR'!$B$12,3,"")))</f>
        <v/>
      </c>
      <c r="I406" s="76">
        <f t="shared" si="1"/>
        <v>0</v>
      </c>
    </row>
    <row r="407" ht="14.25" customHeight="1">
      <c r="B407" s="84" t="str">
        <f t="array" ref="B407">IFERROR(INDEX(Activos!$B$3:$C$16, MATCH(C407,Activos!$B$3:$B$16),2),"")</f>
        <v/>
      </c>
      <c r="C407" s="84"/>
      <c r="D407" s="84"/>
      <c r="E407" s="76"/>
      <c r="F407" s="76" t="str">
        <f>IF(E407='Tablas AR'!$B$4,1,IF('Análisis de Riesgos'!E407='Tablas AR'!$B$5,2,IF('Análisis de Riesgos'!E407='Tablas AR'!$B$6,3,"")))</f>
        <v/>
      </c>
      <c r="G407" s="76"/>
      <c r="H407" s="76" t="str">
        <f>IF(G407='Tablas AR'!$B$10,1,IF('Análisis de Riesgos'!G407='Tablas AR'!$B$11,2,IF('Análisis de Riesgos'!G407='Tablas AR'!$B$12,3,"")))</f>
        <v/>
      </c>
      <c r="I407" s="76">
        <f t="shared" si="1"/>
        <v>0</v>
      </c>
    </row>
    <row r="408" ht="14.25" customHeight="1">
      <c r="B408" s="84" t="str">
        <f t="array" ref="B408">IFERROR(INDEX(Activos!$B$3:$C$16, MATCH(C408,Activos!$B$3:$B$16),2),"")</f>
        <v/>
      </c>
      <c r="C408" s="84"/>
      <c r="D408" s="84"/>
      <c r="E408" s="76"/>
      <c r="F408" s="76" t="str">
        <f>IF(E408='Tablas AR'!$B$4,1,IF('Análisis de Riesgos'!E408='Tablas AR'!$B$5,2,IF('Análisis de Riesgos'!E408='Tablas AR'!$B$6,3,"")))</f>
        <v/>
      </c>
      <c r="G408" s="76"/>
      <c r="H408" s="76" t="str">
        <f>IF(G408='Tablas AR'!$B$10,1,IF('Análisis de Riesgos'!G408='Tablas AR'!$B$11,2,IF('Análisis de Riesgos'!G408='Tablas AR'!$B$12,3,"")))</f>
        <v/>
      </c>
      <c r="I408" s="76">
        <f t="shared" si="1"/>
        <v>0</v>
      </c>
    </row>
    <row r="409" ht="14.25" customHeight="1">
      <c r="B409" s="84" t="str">
        <f t="array" ref="B409">IFERROR(INDEX(Activos!$B$3:$C$16, MATCH(C409,Activos!$B$3:$B$16),2),"")</f>
        <v/>
      </c>
      <c r="C409" s="84"/>
      <c r="D409" s="84"/>
      <c r="E409" s="76"/>
      <c r="F409" s="76" t="str">
        <f>IF(E409='Tablas AR'!$B$4,1,IF('Análisis de Riesgos'!E409='Tablas AR'!$B$5,2,IF('Análisis de Riesgos'!E409='Tablas AR'!$B$6,3,"")))</f>
        <v/>
      </c>
      <c r="G409" s="76"/>
      <c r="H409" s="76" t="str">
        <f>IF(G409='Tablas AR'!$B$10,1,IF('Análisis de Riesgos'!G409='Tablas AR'!$B$11,2,IF('Análisis de Riesgos'!G409='Tablas AR'!$B$12,3,"")))</f>
        <v/>
      </c>
      <c r="I409" s="76">
        <f t="shared" si="1"/>
        <v>0</v>
      </c>
    </row>
    <row r="410" ht="14.25" customHeight="1">
      <c r="B410" s="84" t="str">
        <f t="array" ref="B410">IFERROR(INDEX(Activos!$B$3:$C$16, MATCH(C410,Activos!$B$3:$B$16),2),"")</f>
        <v/>
      </c>
      <c r="C410" s="84"/>
      <c r="D410" s="84"/>
      <c r="E410" s="76"/>
      <c r="F410" s="76" t="str">
        <f>IF(E410='Tablas AR'!$B$4,1,IF('Análisis de Riesgos'!E410='Tablas AR'!$B$5,2,IF('Análisis de Riesgos'!E410='Tablas AR'!$B$6,3,"")))</f>
        <v/>
      </c>
      <c r="G410" s="76"/>
      <c r="H410" s="76" t="str">
        <f>IF(G410='Tablas AR'!$B$10,1,IF('Análisis de Riesgos'!G410='Tablas AR'!$B$11,2,IF('Análisis de Riesgos'!G410='Tablas AR'!$B$12,3,"")))</f>
        <v/>
      </c>
      <c r="I410" s="76">
        <f t="shared" si="1"/>
        <v>0</v>
      </c>
    </row>
    <row r="411" ht="14.25" customHeight="1">
      <c r="B411" s="84" t="str">
        <f t="array" ref="B411">IFERROR(INDEX(Activos!$B$3:$C$16, MATCH(C411,Activos!$B$3:$B$16),2),"")</f>
        <v/>
      </c>
      <c r="C411" s="84"/>
      <c r="D411" s="84"/>
      <c r="E411" s="76"/>
      <c r="F411" s="76" t="str">
        <f>IF(E411='Tablas AR'!$B$4,1,IF('Análisis de Riesgos'!E411='Tablas AR'!$B$5,2,IF('Análisis de Riesgos'!E411='Tablas AR'!$B$6,3,"")))</f>
        <v/>
      </c>
      <c r="G411" s="76"/>
      <c r="H411" s="76" t="str">
        <f>IF(G411='Tablas AR'!$B$10,1,IF('Análisis de Riesgos'!G411='Tablas AR'!$B$11,2,IF('Análisis de Riesgos'!G411='Tablas AR'!$B$12,3,"")))</f>
        <v/>
      </c>
      <c r="I411" s="76">
        <f t="shared" si="1"/>
        <v>0</v>
      </c>
    </row>
    <row r="412" ht="14.25" customHeight="1">
      <c r="B412" s="84" t="str">
        <f t="array" ref="B412">IFERROR(INDEX(Activos!$B$3:$C$16, MATCH(C412,Activos!$B$3:$B$16),2),"")</f>
        <v/>
      </c>
      <c r="C412" s="84"/>
      <c r="D412" s="84"/>
      <c r="E412" s="76"/>
      <c r="F412" s="76" t="str">
        <f>IF(E412='Tablas AR'!$B$4,1,IF('Análisis de Riesgos'!E412='Tablas AR'!$B$5,2,IF('Análisis de Riesgos'!E412='Tablas AR'!$B$6,3,"")))</f>
        <v/>
      </c>
      <c r="G412" s="76"/>
      <c r="H412" s="76" t="str">
        <f>IF(G412='Tablas AR'!$B$10,1,IF('Análisis de Riesgos'!G412='Tablas AR'!$B$11,2,IF('Análisis de Riesgos'!G412='Tablas AR'!$B$12,3,"")))</f>
        <v/>
      </c>
      <c r="I412" s="76">
        <f t="shared" si="1"/>
        <v>0</v>
      </c>
    </row>
    <row r="413" ht="14.25" customHeight="1">
      <c r="B413" s="84" t="str">
        <f t="array" ref="B413">IFERROR(INDEX(Activos!$B$3:$C$16, MATCH(C413,Activos!$B$3:$B$16),2),"")</f>
        <v/>
      </c>
      <c r="C413" s="84"/>
      <c r="D413" s="84"/>
      <c r="E413" s="76"/>
      <c r="F413" s="76" t="str">
        <f>IF(E413='Tablas AR'!$B$4,1,IF('Análisis de Riesgos'!E413='Tablas AR'!$B$5,2,IF('Análisis de Riesgos'!E413='Tablas AR'!$B$6,3,"")))</f>
        <v/>
      </c>
      <c r="G413" s="76"/>
      <c r="H413" s="76" t="str">
        <f>IF(G413='Tablas AR'!$B$10,1,IF('Análisis de Riesgos'!G413='Tablas AR'!$B$11,2,IF('Análisis de Riesgos'!G413='Tablas AR'!$B$12,3,"")))</f>
        <v/>
      </c>
      <c r="I413" s="76">
        <f t="shared" si="1"/>
        <v>0</v>
      </c>
    </row>
    <row r="414" ht="14.25" customHeight="1">
      <c r="B414" s="84" t="str">
        <f t="array" ref="B414">IFERROR(INDEX(Activos!$B$3:$C$16, MATCH(C414,Activos!$B$3:$B$16),2),"")</f>
        <v/>
      </c>
      <c r="C414" s="84"/>
      <c r="D414" s="84"/>
      <c r="E414" s="76"/>
      <c r="F414" s="76" t="str">
        <f>IF(E414='Tablas AR'!$B$4,1,IF('Análisis de Riesgos'!E414='Tablas AR'!$B$5,2,IF('Análisis de Riesgos'!E414='Tablas AR'!$B$6,3,"")))</f>
        <v/>
      </c>
      <c r="G414" s="76"/>
      <c r="H414" s="76" t="str">
        <f>IF(G414='Tablas AR'!$B$10,1,IF('Análisis de Riesgos'!G414='Tablas AR'!$B$11,2,IF('Análisis de Riesgos'!G414='Tablas AR'!$B$12,3,"")))</f>
        <v/>
      </c>
      <c r="I414" s="76">
        <f t="shared" si="1"/>
        <v>0</v>
      </c>
    </row>
    <row r="415" ht="14.25" customHeight="1">
      <c r="B415" s="84" t="str">
        <f t="array" ref="B415">IFERROR(INDEX(Activos!$B$3:$C$16, MATCH(C415,Activos!$B$3:$B$16),2),"")</f>
        <v/>
      </c>
      <c r="C415" s="84"/>
      <c r="D415" s="84"/>
      <c r="E415" s="76"/>
      <c r="F415" s="76" t="str">
        <f>IF(E415='Tablas AR'!$B$4,1,IF('Análisis de Riesgos'!E415='Tablas AR'!$B$5,2,IF('Análisis de Riesgos'!E415='Tablas AR'!$B$6,3,"")))</f>
        <v/>
      </c>
      <c r="G415" s="76"/>
      <c r="H415" s="76" t="str">
        <f>IF(G415='Tablas AR'!$B$10,1,IF('Análisis de Riesgos'!G415='Tablas AR'!$B$11,2,IF('Análisis de Riesgos'!G415='Tablas AR'!$B$12,3,"")))</f>
        <v/>
      </c>
      <c r="I415" s="76">
        <f t="shared" si="1"/>
        <v>0</v>
      </c>
    </row>
    <row r="416" ht="14.25" customHeight="1">
      <c r="B416" s="84" t="str">
        <f t="array" ref="B416">IFERROR(INDEX(Activos!$B$3:$C$16, MATCH(C416,Activos!$B$3:$B$16),2),"")</f>
        <v/>
      </c>
      <c r="C416" s="84"/>
      <c r="D416" s="84"/>
      <c r="E416" s="76"/>
      <c r="F416" s="76" t="str">
        <f>IF(E416='Tablas AR'!$B$4,1,IF('Análisis de Riesgos'!E416='Tablas AR'!$B$5,2,IF('Análisis de Riesgos'!E416='Tablas AR'!$B$6,3,"")))</f>
        <v/>
      </c>
      <c r="G416" s="76"/>
      <c r="H416" s="76" t="str">
        <f>IF(G416='Tablas AR'!$B$10,1,IF('Análisis de Riesgos'!G416='Tablas AR'!$B$11,2,IF('Análisis de Riesgos'!G416='Tablas AR'!$B$12,3,"")))</f>
        <v/>
      </c>
      <c r="I416" s="76">
        <f t="shared" si="1"/>
        <v>0</v>
      </c>
    </row>
    <row r="417" ht="14.25" customHeight="1">
      <c r="B417" s="84" t="str">
        <f t="array" ref="B417">IFERROR(INDEX(Activos!$B$3:$C$16, MATCH(C417,Activos!$B$3:$B$16),2),"")</f>
        <v/>
      </c>
      <c r="C417" s="84"/>
      <c r="D417" s="84"/>
      <c r="E417" s="76"/>
      <c r="F417" s="76" t="str">
        <f>IF(E417='Tablas AR'!$B$4,1,IF('Análisis de Riesgos'!E417='Tablas AR'!$B$5,2,IF('Análisis de Riesgos'!E417='Tablas AR'!$B$6,3,"")))</f>
        <v/>
      </c>
      <c r="G417" s="76"/>
      <c r="H417" s="76" t="str">
        <f>IF(G417='Tablas AR'!$B$10,1,IF('Análisis de Riesgos'!G417='Tablas AR'!$B$11,2,IF('Análisis de Riesgos'!G417='Tablas AR'!$B$12,3,"")))</f>
        <v/>
      </c>
      <c r="I417" s="76">
        <f t="shared" si="1"/>
        <v>0</v>
      </c>
    </row>
    <row r="418" ht="14.25" customHeight="1">
      <c r="B418" s="84" t="str">
        <f t="array" ref="B418">IFERROR(INDEX(Activos!$B$3:$C$16, MATCH(C418,Activos!$B$3:$B$16),2),"")</f>
        <v/>
      </c>
      <c r="C418" s="84"/>
      <c r="D418" s="84"/>
      <c r="E418" s="76"/>
      <c r="F418" s="76" t="str">
        <f>IF(E418='Tablas AR'!$B$4,1,IF('Análisis de Riesgos'!E418='Tablas AR'!$B$5,2,IF('Análisis de Riesgos'!E418='Tablas AR'!$B$6,3,"")))</f>
        <v/>
      </c>
      <c r="G418" s="76"/>
      <c r="H418" s="76" t="str">
        <f>IF(G418='Tablas AR'!$B$10,1,IF('Análisis de Riesgos'!G418='Tablas AR'!$B$11,2,IF('Análisis de Riesgos'!G418='Tablas AR'!$B$12,3,"")))</f>
        <v/>
      </c>
      <c r="I418" s="76">
        <f t="shared" si="1"/>
        <v>0</v>
      </c>
    </row>
    <row r="419" ht="14.25" customHeight="1">
      <c r="B419" s="84" t="str">
        <f t="array" ref="B419">IFERROR(INDEX(Activos!$B$3:$C$16, MATCH(C419,Activos!$B$3:$B$16),2),"")</f>
        <v/>
      </c>
      <c r="C419" s="84"/>
      <c r="D419" s="84"/>
      <c r="E419" s="76"/>
      <c r="F419" s="76" t="str">
        <f>IF(E419='Tablas AR'!$B$4,1,IF('Análisis de Riesgos'!E419='Tablas AR'!$B$5,2,IF('Análisis de Riesgos'!E419='Tablas AR'!$B$6,3,"")))</f>
        <v/>
      </c>
      <c r="G419" s="76"/>
      <c r="H419" s="76" t="str">
        <f>IF(G419='Tablas AR'!$B$10,1,IF('Análisis de Riesgos'!G419='Tablas AR'!$B$11,2,IF('Análisis de Riesgos'!G419='Tablas AR'!$B$12,3,"")))</f>
        <v/>
      </c>
      <c r="I419" s="76">
        <f t="shared" si="1"/>
        <v>0</v>
      </c>
    </row>
    <row r="420" ht="14.25" customHeight="1">
      <c r="B420" s="84" t="str">
        <f t="array" ref="B420">IFERROR(INDEX(Activos!$B$3:$C$16, MATCH(C420,Activos!$B$3:$B$16),2),"")</f>
        <v/>
      </c>
      <c r="C420" s="84"/>
      <c r="D420" s="84"/>
      <c r="E420" s="76"/>
      <c r="F420" s="76" t="str">
        <f>IF(E420='Tablas AR'!$B$4,1,IF('Análisis de Riesgos'!E420='Tablas AR'!$B$5,2,IF('Análisis de Riesgos'!E420='Tablas AR'!$B$6,3,"")))</f>
        <v/>
      </c>
      <c r="G420" s="76"/>
      <c r="H420" s="76" t="str">
        <f>IF(G420='Tablas AR'!$B$10,1,IF('Análisis de Riesgos'!G420='Tablas AR'!$B$11,2,IF('Análisis de Riesgos'!G420='Tablas AR'!$B$12,3,"")))</f>
        <v/>
      </c>
      <c r="I420" s="76">
        <f t="shared" si="1"/>
        <v>0</v>
      </c>
    </row>
    <row r="421" ht="14.25" customHeight="1">
      <c r="B421" s="84" t="str">
        <f t="array" ref="B421">IFERROR(INDEX(Activos!$B$3:$C$16, MATCH(C421,Activos!$B$3:$B$16),2),"")</f>
        <v/>
      </c>
      <c r="C421" s="84"/>
      <c r="D421" s="84"/>
      <c r="E421" s="76"/>
      <c r="F421" s="76" t="str">
        <f>IF(E421='Tablas AR'!$B$4,1,IF('Análisis de Riesgos'!E421='Tablas AR'!$B$5,2,IF('Análisis de Riesgos'!E421='Tablas AR'!$B$6,3,"")))</f>
        <v/>
      </c>
      <c r="G421" s="76"/>
      <c r="H421" s="76" t="str">
        <f>IF(G421='Tablas AR'!$B$10,1,IF('Análisis de Riesgos'!G421='Tablas AR'!$B$11,2,IF('Análisis de Riesgos'!G421='Tablas AR'!$B$12,3,"")))</f>
        <v/>
      </c>
      <c r="I421" s="76">
        <f t="shared" si="1"/>
        <v>0</v>
      </c>
    </row>
    <row r="422" ht="14.25" customHeight="1">
      <c r="B422" s="84" t="str">
        <f t="array" ref="B422">IFERROR(INDEX(Activos!$B$3:$C$16, MATCH(C422,Activos!$B$3:$B$16),2),"")</f>
        <v/>
      </c>
      <c r="C422" s="84"/>
      <c r="D422" s="84"/>
      <c r="E422" s="76"/>
      <c r="F422" s="76" t="str">
        <f>IF(E422='Tablas AR'!$B$4,1,IF('Análisis de Riesgos'!E422='Tablas AR'!$B$5,2,IF('Análisis de Riesgos'!E422='Tablas AR'!$B$6,3,"")))</f>
        <v/>
      </c>
      <c r="G422" s="76"/>
      <c r="H422" s="76" t="str">
        <f>IF(G422='Tablas AR'!$B$10,1,IF('Análisis de Riesgos'!G422='Tablas AR'!$B$11,2,IF('Análisis de Riesgos'!G422='Tablas AR'!$B$12,3,"")))</f>
        <v/>
      </c>
      <c r="I422" s="76">
        <f t="shared" si="1"/>
        <v>0</v>
      </c>
    </row>
    <row r="423" ht="14.25" customHeight="1">
      <c r="B423" s="84" t="str">
        <f t="array" ref="B423">IFERROR(INDEX(Activos!$B$3:$C$16, MATCH(C423,Activos!$B$3:$B$16),2),"")</f>
        <v/>
      </c>
      <c r="C423" s="84"/>
      <c r="D423" s="84"/>
      <c r="E423" s="76"/>
      <c r="F423" s="76" t="str">
        <f>IF(E423='Tablas AR'!$B$4,1,IF('Análisis de Riesgos'!E423='Tablas AR'!$B$5,2,IF('Análisis de Riesgos'!E423='Tablas AR'!$B$6,3,"")))</f>
        <v/>
      </c>
      <c r="G423" s="76"/>
      <c r="H423" s="76" t="str">
        <f>IF(G423='Tablas AR'!$B$10,1,IF('Análisis de Riesgos'!G423='Tablas AR'!$B$11,2,IF('Análisis de Riesgos'!G423='Tablas AR'!$B$12,3,"")))</f>
        <v/>
      </c>
      <c r="I423" s="76">
        <f t="shared" si="1"/>
        <v>0</v>
      </c>
    </row>
    <row r="424" ht="14.25" customHeight="1">
      <c r="B424" s="84" t="str">
        <f t="array" ref="B424">IFERROR(INDEX(Activos!$B$3:$C$16, MATCH(C424,Activos!$B$3:$B$16),2),"")</f>
        <v/>
      </c>
      <c r="C424" s="84"/>
      <c r="D424" s="84"/>
      <c r="E424" s="76"/>
      <c r="F424" s="76" t="str">
        <f>IF(E424='Tablas AR'!$B$4,1,IF('Análisis de Riesgos'!E424='Tablas AR'!$B$5,2,IF('Análisis de Riesgos'!E424='Tablas AR'!$B$6,3,"")))</f>
        <v/>
      </c>
      <c r="G424" s="76"/>
      <c r="H424" s="76" t="str">
        <f>IF(G424='Tablas AR'!$B$10,1,IF('Análisis de Riesgos'!G424='Tablas AR'!$B$11,2,IF('Análisis de Riesgos'!G424='Tablas AR'!$B$12,3,"")))</f>
        <v/>
      </c>
      <c r="I424" s="76">
        <f t="shared" si="1"/>
        <v>0</v>
      </c>
    </row>
    <row r="425" ht="14.25" customHeight="1">
      <c r="B425" s="84" t="str">
        <f t="array" ref="B425">IFERROR(INDEX(Activos!$B$3:$C$16, MATCH(C425,Activos!$B$3:$B$16),2),"")</f>
        <v/>
      </c>
      <c r="C425" s="84"/>
      <c r="D425" s="84"/>
      <c r="E425" s="76"/>
      <c r="F425" s="76" t="str">
        <f>IF(E425='Tablas AR'!$B$4,1,IF('Análisis de Riesgos'!E425='Tablas AR'!$B$5,2,IF('Análisis de Riesgos'!E425='Tablas AR'!$B$6,3,"")))</f>
        <v/>
      </c>
      <c r="G425" s="76"/>
      <c r="H425" s="76" t="str">
        <f>IF(G425='Tablas AR'!$B$10,1,IF('Análisis de Riesgos'!G425='Tablas AR'!$B$11,2,IF('Análisis de Riesgos'!G425='Tablas AR'!$B$12,3,"")))</f>
        <v/>
      </c>
      <c r="I425" s="76">
        <f t="shared" si="1"/>
        <v>0</v>
      </c>
    </row>
    <row r="426" ht="14.25" customHeight="1">
      <c r="B426" s="84" t="str">
        <f t="array" ref="B426">IFERROR(INDEX(Activos!$B$3:$C$16, MATCH(C426,Activos!$B$3:$B$16),2),"")</f>
        <v/>
      </c>
      <c r="C426" s="84"/>
      <c r="D426" s="84"/>
      <c r="E426" s="76"/>
      <c r="F426" s="76" t="str">
        <f>IF(E426='Tablas AR'!$B$4,1,IF('Análisis de Riesgos'!E426='Tablas AR'!$B$5,2,IF('Análisis de Riesgos'!E426='Tablas AR'!$B$6,3,"")))</f>
        <v/>
      </c>
      <c r="G426" s="76"/>
      <c r="H426" s="76" t="str">
        <f>IF(G426='Tablas AR'!$B$10,1,IF('Análisis de Riesgos'!G426='Tablas AR'!$B$11,2,IF('Análisis de Riesgos'!G426='Tablas AR'!$B$12,3,"")))</f>
        <v/>
      </c>
      <c r="I426" s="76">
        <f t="shared" si="1"/>
        <v>0</v>
      </c>
    </row>
    <row r="427" ht="14.25" customHeight="1">
      <c r="B427" s="84" t="str">
        <f t="array" ref="B427">IFERROR(INDEX(Activos!$B$3:$C$16, MATCH(C427,Activos!$B$3:$B$16),2),"")</f>
        <v/>
      </c>
      <c r="C427" s="84"/>
      <c r="D427" s="84"/>
      <c r="E427" s="76"/>
      <c r="F427" s="76" t="str">
        <f>IF(E427='Tablas AR'!$B$4,1,IF('Análisis de Riesgos'!E427='Tablas AR'!$B$5,2,IF('Análisis de Riesgos'!E427='Tablas AR'!$B$6,3,"")))</f>
        <v/>
      </c>
      <c r="G427" s="76"/>
      <c r="H427" s="76" t="str">
        <f>IF(G427='Tablas AR'!$B$10,1,IF('Análisis de Riesgos'!G427='Tablas AR'!$B$11,2,IF('Análisis de Riesgos'!G427='Tablas AR'!$B$12,3,"")))</f>
        <v/>
      </c>
      <c r="I427" s="76">
        <f t="shared" si="1"/>
        <v>0</v>
      </c>
    </row>
    <row r="428" ht="14.25" customHeight="1">
      <c r="B428" s="84" t="str">
        <f t="array" ref="B428">IFERROR(INDEX(Activos!$B$3:$C$16, MATCH(C428,Activos!$B$3:$B$16),2),"")</f>
        <v/>
      </c>
      <c r="C428" s="84"/>
      <c r="D428" s="84"/>
      <c r="E428" s="76"/>
      <c r="F428" s="76" t="str">
        <f>IF(E428='Tablas AR'!$B$4,1,IF('Análisis de Riesgos'!E428='Tablas AR'!$B$5,2,IF('Análisis de Riesgos'!E428='Tablas AR'!$B$6,3,"")))</f>
        <v/>
      </c>
      <c r="G428" s="76"/>
      <c r="H428" s="76" t="str">
        <f>IF(G428='Tablas AR'!$B$10,1,IF('Análisis de Riesgos'!G428='Tablas AR'!$B$11,2,IF('Análisis de Riesgos'!G428='Tablas AR'!$B$12,3,"")))</f>
        <v/>
      </c>
      <c r="I428" s="76">
        <f t="shared" si="1"/>
        <v>0</v>
      </c>
    </row>
    <row r="429" ht="14.25" customHeight="1">
      <c r="B429" s="84" t="str">
        <f t="array" ref="B429">IFERROR(INDEX(Activos!$B$3:$C$16, MATCH(C429,Activos!$B$3:$B$16),2),"")</f>
        <v/>
      </c>
      <c r="C429" s="84"/>
      <c r="D429" s="84"/>
      <c r="E429" s="76"/>
      <c r="F429" s="76" t="str">
        <f>IF(E429='Tablas AR'!$B$4,1,IF('Análisis de Riesgos'!E429='Tablas AR'!$B$5,2,IF('Análisis de Riesgos'!E429='Tablas AR'!$B$6,3,"")))</f>
        <v/>
      </c>
      <c r="G429" s="76"/>
      <c r="H429" s="76" t="str">
        <f>IF(G429='Tablas AR'!$B$10,1,IF('Análisis de Riesgos'!G429='Tablas AR'!$B$11,2,IF('Análisis de Riesgos'!G429='Tablas AR'!$B$12,3,"")))</f>
        <v/>
      </c>
      <c r="I429" s="76">
        <f t="shared" si="1"/>
        <v>0</v>
      </c>
    </row>
    <row r="430" ht="14.25" customHeight="1">
      <c r="B430" s="84" t="str">
        <f t="array" ref="B430">IFERROR(INDEX(Activos!$B$3:$C$16, MATCH(C430,Activos!$B$3:$B$16),2),"")</f>
        <v/>
      </c>
      <c r="C430" s="84"/>
      <c r="D430" s="84"/>
      <c r="E430" s="76"/>
      <c r="F430" s="76" t="str">
        <f>IF(E430='Tablas AR'!$B$4,1,IF('Análisis de Riesgos'!E430='Tablas AR'!$B$5,2,IF('Análisis de Riesgos'!E430='Tablas AR'!$B$6,3,"")))</f>
        <v/>
      </c>
      <c r="G430" s="76"/>
      <c r="H430" s="76" t="str">
        <f>IF(G430='Tablas AR'!$B$10,1,IF('Análisis de Riesgos'!G430='Tablas AR'!$B$11,2,IF('Análisis de Riesgos'!G430='Tablas AR'!$B$12,3,"")))</f>
        <v/>
      </c>
      <c r="I430" s="76">
        <f t="shared" si="1"/>
        <v>0</v>
      </c>
    </row>
    <row r="431" ht="14.25" customHeight="1">
      <c r="B431" s="84" t="str">
        <f t="array" ref="B431">IFERROR(INDEX(Activos!$B$3:$C$16, MATCH(C431,Activos!$B$3:$B$16),2),"")</f>
        <v/>
      </c>
      <c r="C431" s="84"/>
      <c r="D431" s="84"/>
      <c r="E431" s="76"/>
      <c r="F431" s="76" t="str">
        <f>IF(E431='Tablas AR'!$B$4,1,IF('Análisis de Riesgos'!E431='Tablas AR'!$B$5,2,IF('Análisis de Riesgos'!E431='Tablas AR'!$B$6,3,"")))</f>
        <v/>
      </c>
      <c r="G431" s="76"/>
      <c r="H431" s="76" t="str">
        <f>IF(G431='Tablas AR'!$B$10,1,IF('Análisis de Riesgos'!G431='Tablas AR'!$B$11,2,IF('Análisis de Riesgos'!G431='Tablas AR'!$B$12,3,"")))</f>
        <v/>
      </c>
      <c r="I431" s="76">
        <f t="shared" si="1"/>
        <v>0</v>
      </c>
    </row>
    <row r="432" ht="14.25" customHeight="1">
      <c r="B432" s="84" t="str">
        <f t="array" ref="B432">IFERROR(INDEX(Activos!$B$3:$C$16, MATCH(C432,Activos!$B$3:$B$16),2),"")</f>
        <v/>
      </c>
      <c r="C432" s="84"/>
      <c r="D432" s="84"/>
      <c r="E432" s="76"/>
      <c r="F432" s="76" t="str">
        <f>IF(E432='Tablas AR'!$B$4,1,IF('Análisis de Riesgos'!E432='Tablas AR'!$B$5,2,IF('Análisis de Riesgos'!E432='Tablas AR'!$B$6,3,"")))</f>
        <v/>
      </c>
      <c r="G432" s="76"/>
      <c r="H432" s="76" t="str">
        <f>IF(G432='Tablas AR'!$B$10,1,IF('Análisis de Riesgos'!G432='Tablas AR'!$B$11,2,IF('Análisis de Riesgos'!G432='Tablas AR'!$B$12,3,"")))</f>
        <v/>
      </c>
      <c r="I432" s="76">
        <f t="shared" si="1"/>
        <v>0</v>
      </c>
    </row>
    <row r="433" ht="14.25" customHeight="1">
      <c r="B433" s="84" t="str">
        <f t="array" ref="B433">IFERROR(INDEX(Activos!$B$3:$C$16, MATCH(C433,Activos!$B$3:$B$16),2),"")</f>
        <v/>
      </c>
      <c r="C433" s="84"/>
      <c r="D433" s="84"/>
      <c r="E433" s="76"/>
      <c r="F433" s="76" t="str">
        <f>IF(E433='Tablas AR'!$B$4,1,IF('Análisis de Riesgos'!E433='Tablas AR'!$B$5,2,IF('Análisis de Riesgos'!E433='Tablas AR'!$B$6,3,"")))</f>
        <v/>
      </c>
      <c r="G433" s="76"/>
      <c r="H433" s="76" t="str">
        <f>IF(G433='Tablas AR'!$B$10,1,IF('Análisis de Riesgos'!G433='Tablas AR'!$B$11,2,IF('Análisis de Riesgos'!G433='Tablas AR'!$B$12,3,"")))</f>
        <v/>
      </c>
      <c r="I433" s="76">
        <f t="shared" si="1"/>
        <v>0</v>
      </c>
    </row>
    <row r="434" ht="14.25" customHeight="1">
      <c r="B434" s="84" t="str">
        <f t="array" ref="B434">IFERROR(INDEX(Activos!$B$3:$C$16, MATCH(C434,Activos!$B$3:$B$16),2),"")</f>
        <v/>
      </c>
      <c r="C434" s="84"/>
      <c r="D434" s="84"/>
      <c r="E434" s="76"/>
      <c r="F434" s="76" t="str">
        <f>IF(E434='Tablas AR'!$B$4,1,IF('Análisis de Riesgos'!E434='Tablas AR'!$B$5,2,IF('Análisis de Riesgos'!E434='Tablas AR'!$B$6,3,"")))</f>
        <v/>
      </c>
      <c r="G434" s="76"/>
      <c r="H434" s="76" t="str">
        <f>IF(G434='Tablas AR'!$B$10,1,IF('Análisis de Riesgos'!G434='Tablas AR'!$B$11,2,IF('Análisis de Riesgos'!G434='Tablas AR'!$B$12,3,"")))</f>
        <v/>
      </c>
      <c r="I434" s="76">
        <f t="shared" si="1"/>
        <v>0</v>
      </c>
    </row>
    <row r="435" ht="14.25" customHeight="1">
      <c r="B435" s="84" t="str">
        <f t="array" ref="B435">IFERROR(INDEX(Activos!$B$3:$C$16, MATCH(C435,Activos!$B$3:$B$16),2),"")</f>
        <v/>
      </c>
      <c r="C435" s="84"/>
      <c r="D435" s="84"/>
      <c r="E435" s="76"/>
      <c r="F435" s="76" t="str">
        <f>IF(E435='Tablas AR'!$B$4,1,IF('Análisis de Riesgos'!E435='Tablas AR'!$B$5,2,IF('Análisis de Riesgos'!E435='Tablas AR'!$B$6,3,"")))</f>
        <v/>
      </c>
      <c r="G435" s="76"/>
      <c r="H435" s="76" t="str">
        <f>IF(G435='Tablas AR'!$B$10,1,IF('Análisis de Riesgos'!G435='Tablas AR'!$B$11,2,IF('Análisis de Riesgos'!G435='Tablas AR'!$B$12,3,"")))</f>
        <v/>
      </c>
      <c r="I435" s="76">
        <f t="shared" si="1"/>
        <v>0</v>
      </c>
    </row>
    <row r="436" ht="14.25" customHeight="1">
      <c r="B436" s="84" t="str">
        <f t="array" ref="B436">IFERROR(INDEX(Activos!$B$3:$C$16, MATCH(C436,Activos!$B$3:$B$16),2),"")</f>
        <v/>
      </c>
      <c r="C436" s="84"/>
      <c r="D436" s="84"/>
      <c r="E436" s="76"/>
      <c r="F436" s="76" t="str">
        <f>IF(E436='Tablas AR'!$B$4,1,IF('Análisis de Riesgos'!E436='Tablas AR'!$B$5,2,IF('Análisis de Riesgos'!E436='Tablas AR'!$B$6,3,"")))</f>
        <v/>
      </c>
      <c r="G436" s="76"/>
      <c r="H436" s="76" t="str">
        <f>IF(G436='Tablas AR'!$B$10,1,IF('Análisis de Riesgos'!G436='Tablas AR'!$B$11,2,IF('Análisis de Riesgos'!G436='Tablas AR'!$B$12,3,"")))</f>
        <v/>
      </c>
      <c r="I436" s="76">
        <f t="shared" si="1"/>
        <v>0</v>
      </c>
    </row>
    <row r="437" ht="14.25" customHeight="1">
      <c r="B437" s="84" t="str">
        <f t="array" ref="B437">IFERROR(INDEX(Activos!$B$3:$C$16, MATCH(C437,Activos!$B$3:$B$16),2),"")</f>
        <v/>
      </c>
      <c r="C437" s="84"/>
      <c r="D437" s="84"/>
      <c r="E437" s="76"/>
      <c r="F437" s="76" t="str">
        <f>IF(E437='Tablas AR'!$B$4,1,IF('Análisis de Riesgos'!E437='Tablas AR'!$B$5,2,IF('Análisis de Riesgos'!E437='Tablas AR'!$B$6,3,"")))</f>
        <v/>
      </c>
      <c r="G437" s="76"/>
      <c r="H437" s="76" t="str">
        <f>IF(G437='Tablas AR'!$B$10,1,IF('Análisis de Riesgos'!G437='Tablas AR'!$B$11,2,IF('Análisis de Riesgos'!G437='Tablas AR'!$B$12,3,"")))</f>
        <v/>
      </c>
      <c r="I437" s="76">
        <f t="shared" si="1"/>
        <v>0</v>
      </c>
    </row>
    <row r="438" ht="14.25" customHeight="1">
      <c r="B438" s="84" t="str">
        <f t="array" ref="B438">IFERROR(INDEX(Activos!$B$3:$C$16, MATCH(C438,Activos!$B$3:$B$16),2),"")</f>
        <v/>
      </c>
      <c r="C438" s="84"/>
      <c r="D438" s="84"/>
      <c r="E438" s="76"/>
      <c r="F438" s="76" t="str">
        <f>IF(E438='Tablas AR'!$B$4,1,IF('Análisis de Riesgos'!E438='Tablas AR'!$B$5,2,IF('Análisis de Riesgos'!E438='Tablas AR'!$B$6,3,"")))</f>
        <v/>
      </c>
      <c r="G438" s="76"/>
      <c r="H438" s="76" t="str">
        <f>IF(G438='Tablas AR'!$B$10,1,IF('Análisis de Riesgos'!G438='Tablas AR'!$B$11,2,IF('Análisis de Riesgos'!G438='Tablas AR'!$B$12,3,"")))</f>
        <v/>
      </c>
      <c r="I438" s="76">
        <f t="shared" si="1"/>
        <v>0</v>
      </c>
    </row>
    <row r="439" ht="14.25" customHeight="1">
      <c r="B439" s="84" t="str">
        <f t="array" ref="B439">IFERROR(INDEX(Activos!$B$3:$C$16, MATCH(C439,Activos!$B$3:$B$16),2),"")</f>
        <v/>
      </c>
      <c r="C439" s="84"/>
      <c r="D439" s="84"/>
      <c r="E439" s="76"/>
      <c r="F439" s="76" t="str">
        <f>IF(E439='Tablas AR'!$B$4,1,IF('Análisis de Riesgos'!E439='Tablas AR'!$B$5,2,IF('Análisis de Riesgos'!E439='Tablas AR'!$B$6,3,"")))</f>
        <v/>
      </c>
      <c r="G439" s="76"/>
      <c r="H439" s="76" t="str">
        <f>IF(G439='Tablas AR'!$B$10,1,IF('Análisis de Riesgos'!G439='Tablas AR'!$B$11,2,IF('Análisis de Riesgos'!G439='Tablas AR'!$B$12,3,"")))</f>
        <v/>
      </c>
      <c r="I439" s="76">
        <f t="shared" si="1"/>
        <v>0</v>
      </c>
    </row>
    <row r="440" ht="14.25" customHeight="1">
      <c r="B440" s="84" t="str">
        <f t="array" ref="B440">IFERROR(INDEX(Activos!$B$3:$C$16, MATCH(C440,Activos!$B$3:$B$16),2),"")</f>
        <v/>
      </c>
      <c r="C440" s="84"/>
      <c r="D440" s="84"/>
      <c r="E440" s="76"/>
      <c r="F440" s="76" t="str">
        <f>IF(E440='Tablas AR'!$B$4,1,IF('Análisis de Riesgos'!E440='Tablas AR'!$B$5,2,IF('Análisis de Riesgos'!E440='Tablas AR'!$B$6,3,"")))</f>
        <v/>
      </c>
      <c r="G440" s="76"/>
      <c r="H440" s="76" t="str">
        <f>IF(G440='Tablas AR'!$B$10,1,IF('Análisis de Riesgos'!G440='Tablas AR'!$B$11,2,IF('Análisis de Riesgos'!G440='Tablas AR'!$B$12,3,"")))</f>
        <v/>
      </c>
      <c r="I440" s="76">
        <f t="shared" si="1"/>
        <v>0</v>
      </c>
    </row>
    <row r="441" ht="14.25" customHeight="1">
      <c r="B441" s="84" t="str">
        <f t="array" ref="B441">IFERROR(INDEX(Activos!$B$3:$C$16, MATCH(C441,Activos!$B$3:$B$16),2),"")</f>
        <v/>
      </c>
      <c r="C441" s="84"/>
      <c r="D441" s="84"/>
      <c r="E441" s="76"/>
      <c r="F441" s="76" t="str">
        <f>IF(E441='Tablas AR'!$B$4,1,IF('Análisis de Riesgos'!E441='Tablas AR'!$B$5,2,IF('Análisis de Riesgos'!E441='Tablas AR'!$B$6,3,"")))</f>
        <v/>
      </c>
      <c r="G441" s="76"/>
      <c r="H441" s="76" t="str">
        <f>IF(G441='Tablas AR'!$B$10,1,IF('Análisis de Riesgos'!G441='Tablas AR'!$B$11,2,IF('Análisis de Riesgos'!G441='Tablas AR'!$B$12,3,"")))</f>
        <v/>
      </c>
      <c r="I441" s="76">
        <f t="shared" si="1"/>
        <v>0</v>
      </c>
    </row>
    <row r="442" ht="14.25" customHeight="1">
      <c r="B442" s="84" t="str">
        <f t="array" ref="B442">IFERROR(INDEX(Activos!$B$3:$C$16, MATCH(C442,Activos!$B$3:$B$16),2),"")</f>
        <v/>
      </c>
      <c r="C442" s="84"/>
      <c r="D442" s="84"/>
      <c r="E442" s="76"/>
      <c r="F442" s="76" t="str">
        <f>IF(E442='Tablas AR'!$B$4,1,IF('Análisis de Riesgos'!E442='Tablas AR'!$B$5,2,IF('Análisis de Riesgos'!E442='Tablas AR'!$B$6,3,"")))</f>
        <v/>
      </c>
      <c r="G442" s="76"/>
      <c r="H442" s="76" t="str">
        <f>IF(G442='Tablas AR'!$B$10,1,IF('Análisis de Riesgos'!G442='Tablas AR'!$B$11,2,IF('Análisis de Riesgos'!G442='Tablas AR'!$B$12,3,"")))</f>
        <v/>
      </c>
      <c r="I442" s="76">
        <f t="shared" si="1"/>
        <v>0</v>
      </c>
    </row>
    <row r="443" ht="14.25" customHeight="1">
      <c r="B443" s="84" t="str">
        <f t="array" ref="B443">IFERROR(INDEX(Activos!$B$3:$C$16, MATCH(C443,Activos!$B$3:$B$16),2),"")</f>
        <v/>
      </c>
      <c r="C443" s="84"/>
      <c r="D443" s="84"/>
      <c r="E443" s="76"/>
      <c r="F443" s="76" t="str">
        <f>IF(E443='Tablas AR'!$B$4,1,IF('Análisis de Riesgos'!E443='Tablas AR'!$B$5,2,IF('Análisis de Riesgos'!E443='Tablas AR'!$B$6,3,"")))</f>
        <v/>
      </c>
      <c r="G443" s="76"/>
      <c r="H443" s="76" t="str">
        <f>IF(G443='Tablas AR'!$B$10,1,IF('Análisis de Riesgos'!G443='Tablas AR'!$B$11,2,IF('Análisis de Riesgos'!G443='Tablas AR'!$B$12,3,"")))</f>
        <v/>
      </c>
      <c r="I443" s="76">
        <f t="shared" si="1"/>
        <v>0</v>
      </c>
    </row>
    <row r="444" ht="14.25" customHeight="1">
      <c r="B444" s="84" t="str">
        <f t="array" ref="B444">IFERROR(INDEX(Activos!$B$3:$C$16, MATCH(C444,Activos!$B$3:$B$16),2),"")</f>
        <v/>
      </c>
      <c r="C444" s="84"/>
      <c r="D444" s="84"/>
      <c r="E444" s="76"/>
      <c r="F444" s="76" t="str">
        <f>IF(E444='Tablas AR'!$B$4,1,IF('Análisis de Riesgos'!E444='Tablas AR'!$B$5,2,IF('Análisis de Riesgos'!E444='Tablas AR'!$B$6,3,"")))</f>
        <v/>
      </c>
      <c r="G444" s="76"/>
      <c r="H444" s="76" t="str">
        <f>IF(G444='Tablas AR'!$B$10,1,IF('Análisis de Riesgos'!G444='Tablas AR'!$B$11,2,IF('Análisis de Riesgos'!G444='Tablas AR'!$B$12,3,"")))</f>
        <v/>
      </c>
      <c r="I444" s="76">
        <f t="shared" si="1"/>
        <v>0</v>
      </c>
    </row>
    <row r="445" ht="14.25" customHeight="1">
      <c r="B445" s="84" t="str">
        <f t="array" ref="B445">IFERROR(INDEX(Activos!$B$3:$C$16, MATCH(C445,Activos!$B$3:$B$16),2),"")</f>
        <v/>
      </c>
      <c r="C445" s="84"/>
      <c r="D445" s="84"/>
      <c r="E445" s="76"/>
      <c r="F445" s="76" t="str">
        <f>IF(E445='Tablas AR'!$B$4,1,IF('Análisis de Riesgos'!E445='Tablas AR'!$B$5,2,IF('Análisis de Riesgos'!E445='Tablas AR'!$B$6,3,"")))</f>
        <v/>
      </c>
      <c r="G445" s="76"/>
      <c r="H445" s="76" t="str">
        <f>IF(G445='Tablas AR'!$B$10,1,IF('Análisis de Riesgos'!G445='Tablas AR'!$B$11,2,IF('Análisis de Riesgos'!G445='Tablas AR'!$B$12,3,"")))</f>
        <v/>
      </c>
      <c r="I445" s="76">
        <f t="shared" si="1"/>
        <v>0</v>
      </c>
    </row>
    <row r="446" ht="14.25" customHeight="1">
      <c r="B446" s="84" t="str">
        <f t="array" ref="B446">IFERROR(INDEX(Activos!$B$3:$C$16, MATCH(C446,Activos!$B$3:$B$16),2),"")</f>
        <v/>
      </c>
      <c r="C446" s="84"/>
      <c r="D446" s="84"/>
      <c r="E446" s="76"/>
      <c r="F446" s="76" t="str">
        <f>IF(E446='Tablas AR'!$B$4,1,IF('Análisis de Riesgos'!E446='Tablas AR'!$B$5,2,IF('Análisis de Riesgos'!E446='Tablas AR'!$B$6,3,"")))</f>
        <v/>
      </c>
      <c r="G446" s="76"/>
      <c r="H446" s="76" t="str">
        <f>IF(G446='Tablas AR'!$B$10,1,IF('Análisis de Riesgos'!G446='Tablas AR'!$B$11,2,IF('Análisis de Riesgos'!G446='Tablas AR'!$B$12,3,"")))</f>
        <v/>
      </c>
      <c r="I446" s="76">
        <f t="shared" si="1"/>
        <v>0</v>
      </c>
    </row>
    <row r="447" ht="14.25" customHeight="1">
      <c r="B447" s="84" t="str">
        <f t="array" ref="B447">IFERROR(INDEX(Activos!$B$3:$C$16, MATCH(C447,Activos!$B$3:$B$16),2),"")</f>
        <v/>
      </c>
      <c r="C447" s="84"/>
      <c r="D447" s="84"/>
      <c r="E447" s="76"/>
      <c r="F447" s="76" t="str">
        <f>IF(E447='Tablas AR'!$B$4,1,IF('Análisis de Riesgos'!E447='Tablas AR'!$B$5,2,IF('Análisis de Riesgos'!E447='Tablas AR'!$B$6,3,"")))</f>
        <v/>
      </c>
      <c r="G447" s="76"/>
      <c r="H447" s="76" t="str">
        <f>IF(G447='Tablas AR'!$B$10,1,IF('Análisis de Riesgos'!G447='Tablas AR'!$B$11,2,IF('Análisis de Riesgos'!G447='Tablas AR'!$B$12,3,"")))</f>
        <v/>
      </c>
      <c r="I447" s="76">
        <f t="shared" si="1"/>
        <v>0</v>
      </c>
    </row>
    <row r="448" ht="14.25" customHeight="1">
      <c r="B448" s="84" t="str">
        <f t="array" ref="B448">IFERROR(INDEX(Activos!$B$3:$C$16, MATCH(C448,Activos!$B$3:$B$16),2),"")</f>
        <v/>
      </c>
      <c r="C448" s="84"/>
      <c r="D448" s="84"/>
      <c r="E448" s="76"/>
      <c r="F448" s="76" t="str">
        <f>IF(E448='Tablas AR'!$B$4,1,IF('Análisis de Riesgos'!E448='Tablas AR'!$B$5,2,IF('Análisis de Riesgos'!E448='Tablas AR'!$B$6,3,"")))</f>
        <v/>
      </c>
      <c r="G448" s="76"/>
      <c r="H448" s="76" t="str">
        <f>IF(G448='Tablas AR'!$B$10,1,IF('Análisis de Riesgos'!G448='Tablas AR'!$B$11,2,IF('Análisis de Riesgos'!G448='Tablas AR'!$B$12,3,"")))</f>
        <v/>
      </c>
      <c r="I448" s="76">
        <f t="shared" si="1"/>
        <v>0</v>
      </c>
    </row>
    <row r="449" ht="14.25" customHeight="1">
      <c r="B449" s="84" t="str">
        <f t="array" ref="B449">IFERROR(INDEX(Activos!$B$3:$C$16, MATCH(C449,Activos!$B$3:$B$16),2),"")</f>
        <v/>
      </c>
      <c r="C449" s="84"/>
      <c r="D449" s="84"/>
      <c r="E449" s="76"/>
      <c r="F449" s="76" t="str">
        <f>IF(E449='Tablas AR'!$B$4,1,IF('Análisis de Riesgos'!E449='Tablas AR'!$B$5,2,IF('Análisis de Riesgos'!E449='Tablas AR'!$B$6,3,"")))</f>
        <v/>
      </c>
      <c r="G449" s="76"/>
      <c r="H449" s="76" t="str">
        <f>IF(G449='Tablas AR'!$B$10,1,IF('Análisis de Riesgos'!G449='Tablas AR'!$B$11,2,IF('Análisis de Riesgos'!G449='Tablas AR'!$B$12,3,"")))</f>
        <v/>
      </c>
      <c r="I449" s="76">
        <f t="shared" si="1"/>
        <v>0</v>
      </c>
    </row>
    <row r="450" ht="14.25" customHeight="1">
      <c r="B450" s="84" t="str">
        <f t="array" ref="B450">IFERROR(INDEX(Activos!$B$3:$C$16, MATCH(C450,Activos!$B$3:$B$16),2),"")</f>
        <v/>
      </c>
      <c r="C450" s="84"/>
      <c r="D450" s="84"/>
      <c r="E450" s="76"/>
      <c r="F450" s="76" t="str">
        <f>IF(E450='Tablas AR'!$B$4,1,IF('Análisis de Riesgos'!E450='Tablas AR'!$B$5,2,IF('Análisis de Riesgos'!E450='Tablas AR'!$B$6,3,"")))</f>
        <v/>
      </c>
      <c r="G450" s="76"/>
      <c r="H450" s="76" t="str">
        <f>IF(G450='Tablas AR'!$B$10,1,IF('Análisis de Riesgos'!G450='Tablas AR'!$B$11,2,IF('Análisis de Riesgos'!G450='Tablas AR'!$B$12,3,"")))</f>
        <v/>
      </c>
      <c r="I450" s="76">
        <f t="shared" si="1"/>
        <v>0</v>
      </c>
    </row>
    <row r="451" ht="14.25" customHeight="1">
      <c r="B451" s="84" t="str">
        <f t="array" ref="B451">IFERROR(INDEX(Activos!$B$3:$C$16, MATCH(C451,Activos!$B$3:$B$16),2),"")</f>
        <v/>
      </c>
      <c r="C451" s="84"/>
      <c r="D451" s="84"/>
      <c r="E451" s="76"/>
      <c r="F451" s="76" t="str">
        <f>IF(E451='Tablas AR'!$B$4,1,IF('Análisis de Riesgos'!E451='Tablas AR'!$B$5,2,IF('Análisis de Riesgos'!E451='Tablas AR'!$B$6,3,"")))</f>
        <v/>
      </c>
      <c r="G451" s="76"/>
      <c r="H451" s="76" t="str">
        <f>IF(G451='Tablas AR'!$B$10,1,IF('Análisis de Riesgos'!G451='Tablas AR'!$B$11,2,IF('Análisis de Riesgos'!G451='Tablas AR'!$B$12,3,"")))</f>
        <v/>
      </c>
      <c r="I451" s="76">
        <f t="shared" si="1"/>
        <v>0</v>
      </c>
    </row>
    <row r="452" ht="14.25" customHeight="1">
      <c r="B452" s="84" t="str">
        <f t="array" ref="B452">IFERROR(INDEX(Activos!$B$3:$C$16, MATCH(C452,Activos!$B$3:$B$16),2),"")</f>
        <v/>
      </c>
      <c r="C452" s="84"/>
      <c r="D452" s="84"/>
      <c r="E452" s="76"/>
      <c r="F452" s="76" t="str">
        <f>IF(E452='Tablas AR'!$B$4,1,IF('Análisis de Riesgos'!E452='Tablas AR'!$B$5,2,IF('Análisis de Riesgos'!E452='Tablas AR'!$B$6,3,"")))</f>
        <v/>
      </c>
      <c r="G452" s="76"/>
      <c r="H452" s="76" t="str">
        <f>IF(G452='Tablas AR'!$B$10,1,IF('Análisis de Riesgos'!G452='Tablas AR'!$B$11,2,IF('Análisis de Riesgos'!G452='Tablas AR'!$B$12,3,"")))</f>
        <v/>
      </c>
      <c r="I452" s="76">
        <f t="shared" si="1"/>
        <v>0</v>
      </c>
    </row>
    <row r="453" ht="14.25" customHeight="1">
      <c r="B453" s="84" t="str">
        <f t="array" ref="B453">IFERROR(INDEX(Activos!$B$3:$C$16, MATCH(C453,Activos!$B$3:$B$16),2),"")</f>
        <v/>
      </c>
      <c r="C453" s="84"/>
      <c r="D453" s="84"/>
      <c r="E453" s="76"/>
      <c r="F453" s="76" t="str">
        <f>IF(E453='Tablas AR'!$B$4,1,IF('Análisis de Riesgos'!E453='Tablas AR'!$B$5,2,IF('Análisis de Riesgos'!E453='Tablas AR'!$B$6,3,"")))</f>
        <v/>
      </c>
      <c r="G453" s="76"/>
      <c r="H453" s="76" t="str">
        <f>IF(G453='Tablas AR'!$B$10,1,IF('Análisis de Riesgos'!G453='Tablas AR'!$B$11,2,IF('Análisis de Riesgos'!G453='Tablas AR'!$B$12,3,"")))</f>
        <v/>
      </c>
      <c r="I453" s="76">
        <f t="shared" si="1"/>
        <v>0</v>
      </c>
    </row>
    <row r="454" ht="14.25" customHeight="1">
      <c r="B454" s="84" t="str">
        <f t="array" ref="B454">IFERROR(INDEX(Activos!$B$3:$C$16, MATCH(C454,Activos!$B$3:$B$16),2),"")</f>
        <v/>
      </c>
      <c r="C454" s="84"/>
      <c r="D454" s="84"/>
      <c r="E454" s="76"/>
      <c r="F454" s="76" t="str">
        <f>IF(E454='Tablas AR'!$B$4,1,IF('Análisis de Riesgos'!E454='Tablas AR'!$B$5,2,IF('Análisis de Riesgos'!E454='Tablas AR'!$B$6,3,"")))</f>
        <v/>
      </c>
      <c r="G454" s="76"/>
      <c r="H454" s="76" t="str">
        <f>IF(G454='Tablas AR'!$B$10,1,IF('Análisis de Riesgos'!G454='Tablas AR'!$B$11,2,IF('Análisis de Riesgos'!G454='Tablas AR'!$B$12,3,"")))</f>
        <v/>
      </c>
      <c r="I454" s="76">
        <f t="shared" si="1"/>
        <v>0</v>
      </c>
    </row>
    <row r="455" ht="14.25" customHeight="1">
      <c r="B455" s="84" t="str">
        <f t="array" ref="B455">IFERROR(INDEX(Activos!$B$3:$C$16, MATCH(C455,Activos!$B$3:$B$16),2),"")</f>
        <v/>
      </c>
      <c r="C455" s="84"/>
      <c r="D455" s="84"/>
      <c r="E455" s="76"/>
      <c r="F455" s="76" t="str">
        <f>IF(E455='Tablas AR'!$B$4,1,IF('Análisis de Riesgos'!E455='Tablas AR'!$B$5,2,IF('Análisis de Riesgos'!E455='Tablas AR'!$B$6,3,"")))</f>
        <v/>
      </c>
      <c r="G455" s="76"/>
      <c r="H455" s="76" t="str">
        <f>IF(G455='Tablas AR'!$B$10,1,IF('Análisis de Riesgos'!G455='Tablas AR'!$B$11,2,IF('Análisis de Riesgos'!G455='Tablas AR'!$B$12,3,"")))</f>
        <v/>
      </c>
      <c r="I455" s="76">
        <f t="shared" si="1"/>
        <v>0</v>
      </c>
    </row>
    <row r="456" ht="14.25" customHeight="1">
      <c r="B456" s="84" t="str">
        <f t="array" ref="B456">IFERROR(INDEX(Activos!$B$3:$C$16, MATCH(C456,Activos!$B$3:$B$16),2),"")</f>
        <v/>
      </c>
      <c r="C456" s="84"/>
      <c r="D456" s="84"/>
      <c r="E456" s="76"/>
      <c r="F456" s="76" t="str">
        <f>IF(E456='Tablas AR'!$B$4,1,IF('Análisis de Riesgos'!E456='Tablas AR'!$B$5,2,IF('Análisis de Riesgos'!E456='Tablas AR'!$B$6,3,"")))</f>
        <v/>
      </c>
      <c r="G456" s="76"/>
      <c r="H456" s="76" t="str">
        <f>IF(G456='Tablas AR'!$B$10,1,IF('Análisis de Riesgos'!G456='Tablas AR'!$B$11,2,IF('Análisis de Riesgos'!G456='Tablas AR'!$B$12,3,"")))</f>
        <v/>
      </c>
      <c r="I456" s="76">
        <f t="shared" si="1"/>
        <v>0</v>
      </c>
    </row>
    <row r="457" ht="14.25" customHeight="1">
      <c r="B457" s="84" t="str">
        <f t="array" ref="B457">IFERROR(INDEX(Activos!$B$3:$C$16, MATCH(C457,Activos!$B$3:$B$16),2),"")</f>
        <v/>
      </c>
      <c r="C457" s="84"/>
      <c r="D457" s="84"/>
      <c r="E457" s="76"/>
      <c r="F457" s="76" t="str">
        <f>IF(E457='Tablas AR'!$B$4,1,IF('Análisis de Riesgos'!E457='Tablas AR'!$B$5,2,IF('Análisis de Riesgos'!E457='Tablas AR'!$B$6,3,"")))</f>
        <v/>
      </c>
      <c r="G457" s="76"/>
      <c r="H457" s="76" t="str">
        <f>IF(G457='Tablas AR'!$B$10,1,IF('Análisis de Riesgos'!G457='Tablas AR'!$B$11,2,IF('Análisis de Riesgos'!G457='Tablas AR'!$B$12,3,"")))</f>
        <v/>
      </c>
      <c r="I457" s="76">
        <f t="shared" si="1"/>
        <v>0</v>
      </c>
    </row>
    <row r="458" ht="14.25" customHeight="1">
      <c r="B458" s="84" t="str">
        <f t="array" ref="B458">IFERROR(INDEX(Activos!$B$3:$C$16, MATCH(C458,Activos!$B$3:$B$16),2),"")</f>
        <v/>
      </c>
      <c r="C458" s="84"/>
      <c r="D458" s="84"/>
      <c r="E458" s="76"/>
      <c r="F458" s="76" t="str">
        <f>IF(E458='Tablas AR'!$B$4,1,IF('Análisis de Riesgos'!E458='Tablas AR'!$B$5,2,IF('Análisis de Riesgos'!E458='Tablas AR'!$B$6,3,"")))</f>
        <v/>
      </c>
      <c r="G458" s="76"/>
      <c r="H458" s="76" t="str">
        <f>IF(G458='Tablas AR'!$B$10,1,IF('Análisis de Riesgos'!G458='Tablas AR'!$B$11,2,IF('Análisis de Riesgos'!G458='Tablas AR'!$B$12,3,"")))</f>
        <v/>
      </c>
      <c r="I458" s="76">
        <f t="shared" si="1"/>
        <v>0</v>
      </c>
    </row>
    <row r="459" ht="14.25" customHeight="1">
      <c r="B459" s="84" t="str">
        <f t="array" ref="B459">IFERROR(INDEX(Activos!$B$3:$C$16, MATCH(C459,Activos!$B$3:$B$16),2),"")</f>
        <v/>
      </c>
      <c r="C459" s="84"/>
      <c r="D459" s="84"/>
      <c r="E459" s="76"/>
      <c r="F459" s="76" t="str">
        <f>IF(E459='Tablas AR'!$B$4,1,IF('Análisis de Riesgos'!E459='Tablas AR'!$B$5,2,IF('Análisis de Riesgos'!E459='Tablas AR'!$B$6,3,"")))</f>
        <v/>
      </c>
      <c r="G459" s="76"/>
      <c r="H459" s="76" t="str">
        <f>IF(G459='Tablas AR'!$B$10,1,IF('Análisis de Riesgos'!G459='Tablas AR'!$B$11,2,IF('Análisis de Riesgos'!G459='Tablas AR'!$B$12,3,"")))</f>
        <v/>
      </c>
      <c r="I459" s="76">
        <f t="shared" si="1"/>
        <v>0</v>
      </c>
    </row>
    <row r="460" ht="14.25" customHeight="1">
      <c r="B460" s="84" t="str">
        <f t="array" ref="B460">IFERROR(INDEX(Activos!$B$3:$C$16, MATCH(C460,Activos!$B$3:$B$16),2),"")</f>
        <v/>
      </c>
      <c r="C460" s="84"/>
      <c r="D460" s="84"/>
      <c r="E460" s="76"/>
      <c r="F460" s="76" t="str">
        <f>IF(E460='Tablas AR'!$B$4,1,IF('Análisis de Riesgos'!E460='Tablas AR'!$B$5,2,IF('Análisis de Riesgos'!E460='Tablas AR'!$B$6,3,"")))</f>
        <v/>
      </c>
      <c r="G460" s="76"/>
      <c r="H460" s="76" t="str">
        <f>IF(G460='Tablas AR'!$B$10,1,IF('Análisis de Riesgos'!G460='Tablas AR'!$B$11,2,IF('Análisis de Riesgos'!G460='Tablas AR'!$B$12,3,"")))</f>
        <v/>
      </c>
      <c r="I460" s="76">
        <f t="shared" si="1"/>
        <v>0</v>
      </c>
    </row>
    <row r="461" ht="14.25" customHeight="1">
      <c r="B461" s="84" t="str">
        <f t="array" ref="B461">IFERROR(INDEX(Activos!$B$3:$C$16, MATCH(C461,Activos!$B$3:$B$16),2),"")</f>
        <v/>
      </c>
      <c r="C461" s="84"/>
      <c r="D461" s="84"/>
      <c r="E461" s="76"/>
      <c r="F461" s="76" t="str">
        <f>IF(E461='Tablas AR'!$B$4,1,IF('Análisis de Riesgos'!E461='Tablas AR'!$B$5,2,IF('Análisis de Riesgos'!E461='Tablas AR'!$B$6,3,"")))</f>
        <v/>
      </c>
      <c r="G461" s="76"/>
      <c r="H461" s="76" t="str">
        <f>IF(G461='Tablas AR'!$B$10,1,IF('Análisis de Riesgos'!G461='Tablas AR'!$B$11,2,IF('Análisis de Riesgos'!G461='Tablas AR'!$B$12,3,"")))</f>
        <v/>
      </c>
      <c r="I461" s="76">
        <f t="shared" si="1"/>
        <v>0</v>
      </c>
    </row>
    <row r="462" ht="14.25" customHeight="1">
      <c r="B462" s="84" t="str">
        <f t="array" ref="B462">IFERROR(INDEX(Activos!$B$3:$C$16, MATCH(C462,Activos!$B$3:$B$16),2),"")</f>
        <v/>
      </c>
      <c r="C462" s="84"/>
      <c r="D462" s="84"/>
      <c r="E462" s="76"/>
      <c r="F462" s="76" t="str">
        <f>IF(E462='Tablas AR'!$B$4,1,IF('Análisis de Riesgos'!E462='Tablas AR'!$B$5,2,IF('Análisis de Riesgos'!E462='Tablas AR'!$B$6,3,"")))</f>
        <v/>
      </c>
      <c r="G462" s="76"/>
      <c r="H462" s="76" t="str">
        <f>IF(G462='Tablas AR'!$B$10,1,IF('Análisis de Riesgos'!G462='Tablas AR'!$B$11,2,IF('Análisis de Riesgos'!G462='Tablas AR'!$B$12,3,"")))</f>
        <v/>
      </c>
      <c r="I462" s="76">
        <f t="shared" si="1"/>
        <v>0</v>
      </c>
    </row>
    <row r="463" ht="14.25" customHeight="1">
      <c r="B463" s="84" t="str">
        <f t="array" ref="B463">IFERROR(INDEX(Activos!$B$3:$C$16, MATCH(C463,Activos!$B$3:$B$16),2),"")</f>
        <v/>
      </c>
      <c r="C463" s="84"/>
      <c r="D463" s="84"/>
      <c r="E463" s="76"/>
      <c r="F463" s="76" t="str">
        <f>IF(E463='Tablas AR'!$B$4,1,IF('Análisis de Riesgos'!E463='Tablas AR'!$B$5,2,IF('Análisis de Riesgos'!E463='Tablas AR'!$B$6,3,"")))</f>
        <v/>
      </c>
      <c r="G463" s="76"/>
      <c r="H463" s="76" t="str">
        <f>IF(G463='Tablas AR'!$B$10,1,IF('Análisis de Riesgos'!G463='Tablas AR'!$B$11,2,IF('Análisis de Riesgos'!G463='Tablas AR'!$B$12,3,"")))</f>
        <v/>
      </c>
      <c r="I463" s="76">
        <f t="shared" si="1"/>
        <v>0</v>
      </c>
    </row>
    <row r="464" ht="14.25" customHeight="1">
      <c r="B464" s="84" t="str">
        <f t="array" ref="B464">IFERROR(INDEX(Activos!$B$3:$C$16, MATCH(C464,Activos!$B$3:$B$16),2),"")</f>
        <v/>
      </c>
      <c r="C464" s="84"/>
      <c r="D464" s="84"/>
      <c r="E464" s="76"/>
      <c r="F464" s="76" t="str">
        <f>IF(E464='Tablas AR'!$B$4,1,IF('Análisis de Riesgos'!E464='Tablas AR'!$B$5,2,IF('Análisis de Riesgos'!E464='Tablas AR'!$B$6,3,"")))</f>
        <v/>
      </c>
      <c r="G464" s="76"/>
      <c r="H464" s="76" t="str">
        <f>IF(G464='Tablas AR'!$B$10,1,IF('Análisis de Riesgos'!G464='Tablas AR'!$B$11,2,IF('Análisis de Riesgos'!G464='Tablas AR'!$B$12,3,"")))</f>
        <v/>
      </c>
      <c r="I464" s="76">
        <f t="shared" si="1"/>
        <v>0</v>
      </c>
    </row>
    <row r="465" ht="14.25" customHeight="1">
      <c r="B465" s="84" t="str">
        <f t="array" ref="B465">IFERROR(INDEX(Activos!$B$3:$C$16, MATCH(C465,Activos!$B$3:$B$16),2),"")</f>
        <v/>
      </c>
      <c r="C465" s="84"/>
      <c r="D465" s="84"/>
      <c r="E465" s="76"/>
      <c r="F465" s="76" t="str">
        <f>IF(E465='Tablas AR'!$B$4,1,IF('Análisis de Riesgos'!E465='Tablas AR'!$B$5,2,IF('Análisis de Riesgos'!E465='Tablas AR'!$B$6,3,"")))</f>
        <v/>
      </c>
      <c r="G465" s="76"/>
      <c r="H465" s="76" t="str">
        <f>IF(G465='Tablas AR'!$B$10,1,IF('Análisis de Riesgos'!G465='Tablas AR'!$B$11,2,IF('Análisis de Riesgos'!G465='Tablas AR'!$B$12,3,"")))</f>
        <v/>
      </c>
      <c r="I465" s="76">
        <f t="shared" si="1"/>
        <v>0</v>
      </c>
    </row>
    <row r="466" ht="14.25" customHeight="1">
      <c r="B466" s="84" t="str">
        <f t="array" ref="B466">IFERROR(INDEX(Activos!$B$3:$C$16, MATCH(C466,Activos!$B$3:$B$16),2),"")</f>
        <v/>
      </c>
      <c r="C466" s="84"/>
      <c r="D466" s="84"/>
      <c r="E466" s="76"/>
      <c r="F466" s="76" t="str">
        <f>IF(E466='Tablas AR'!$B$4,1,IF('Análisis de Riesgos'!E466='Tablas AR'!$B$5,2,IF('Análisis de Riesgos'!E466='Tablas AR'!$B$6,3,"")))</f>
        <v/>
      </c>
      <c r="G466" s="76"/>
      <c r="H466" s="76" t="str">
        <f>IF(G466='Tablas AR'!$B$10,1,IF('Análisis de Riesgos'!G466='Tablas AR'!$B$11,2,IF('Análisis de Riesgos'!G466='Tablas AR'!$B$12,3,"")))</f>
        <v/>
      </c>
      <c r="I466" s="76">
        <f t="shared" si="1"/>
        <v>0</v>
      </c>
    </row>
    <row r="467" ht="14.25" customHeight="1">
      <c r="B467" s="84" t="str">
        <f t="array" ref="B467">IFERROR(INDEX(Activos!$B$3:$C$16, MATCH(C467,Activos!$B$3:$B$16),2),"")</f>
        <v/>
      </c>
      <c r="C467" s="84"/>
      <c r="D467" s="84"/>
      <c r="E467" s="76"/>
      <c r="F467" s="76" t="str">
        <f>IF(E467='Tablas AR'!$B$4,1,IF('Análisis de Riesgos'!E467='Tablas AR'!$B$5,2,IF('Análisis de Riesgos'!E467='Tablas AR'!$B$6,3,"")))</f>
        <v/>
      </c>
      <c r="G467" s="76"/>
      <c r="H467" s="76" t="str">
        <f>IF(G467='Tablas AR'!$B$10,1,IF('Análisis de Riesgos'!G467='Tablas AR'!$B$11,2,IF('Análisis de Riesgos'!G467='Tablas AR'!$B$12,3,"")))</f>
        <v/>
      </c>
      <c r="I467" s="76">
        <f t="shared" si="1"/>
        <v>0</v>
      </c>
    </row>
    <row r="468" ht="14.25" customHeight="1">
      <c r="B468" s="84" t="str">
        <f t="array" ref="B468">IFERROR(INDEX(Activos!$B$3:$C$16, MATCH(C468,Activos!$B$3:$B$16),2),"")</f>
        <v/>
      </c>
      <c r="C468" s="84"/>
      <c r="D468" s="84"/>
      <c r="E468" s="76"/>
      <c r="F468" s="76" t="str">
        <f>IF(E468='Tablas AR'!$B$4,1,IF('Análisis de Riesgos'!E468='Tablas AR'!$B$5,2,IF('Análisis de Riesgos'!E468='Tablas AR'!$B$6,3,"")))</f>
        <v/>
      </c>
      <c r="G468" s="76"/>
      <c r="H468" s="76" t="str">
        <f>IF(G468='Tablas AR'!$B$10,1,IF('Análisis de Riesgos'!G468='Tablas AR'!$B$11,2,IF('Análisis de Riesgos'!G468='Tablas AR'!$B$12,3,"")))</f>
        <v/>
      </c>
      <c r="I468" s="76">
        <f t="shared" si="1"/>
        <v>0</v>
      </c>
    </row>
    <row r="469" ht="14.25" customHeight="1">
      <c r="B469" s="84" t="str">
        <f t="array" ref="B469">IFERROR(INDEX(Activos!$B$3:$C$16, MATCH(C469,Activos!$B$3:$B$16),2),"")</f>
        <v/>
      </c>
      <c r="C469" s="84"/>
      <c r="D469" s="84"/>
      <c r="E469" s="76"/>
      <c r="F469" s="76" t="str">
        <f>IF(E469='Tablas AR'!$B$4,1,IF('Análisis de Riesgos'!E469='Tablas AR'!$B$5,2,IF('Análisis de Riesgos'!E469='Tablas AR'!$B$6,3,"")))</f>
        <v/>
      </c>
      <c r="G469" s="76"/>
      <c r="H469" s="76" t="str">
        <f>IF(G469='Tablas AR'!$B$10,1,IF('Análisis de Riesgos'!G469='Tablas AR'!$B$11,2,IF('Análisis de Riesgos'!G469='Tablas AR'!$B$12,3,"")))</f>
        <v/>
      </c>
      <c r="I469" s="76">
        <f t="shared" si="1"/>
        <v>0</v>
      </c>
    </row>
    <row r="470" ht="14.25" customHeight="1">
      <c r="B470" s="84" t="str">
        <f t="array" ref="B470">IFERROR(INDEX(Activos!$B$3:$C$16, MATCH(C470,Activos!$B$3:$B$16),2),"")</f>
        <v/>
      </c>
      <c r="C470" s="84"/>
      <c r="D470" s="84"/>
      <c r="E470" s="76"/>
      <c r="F470" s="76" t="str">
        <f>IF(E470='Tablas AR'!$B$4,1,IF('Análisis de Riesgos'!E470='Tablas AR'!$B$5,2,IF('Análisis de Riesgos'!E470='Tablas AR'!$B$6,3,"")))</f>
        <v/>
      </c>
      <c r="G470" s="76"/>
      <c r="H470" s="76" t="str">
        <f>IF(G470='Tablas AR'!$B$10,1,IF('Análisis de Riesgos'!G470='Tablas AR'!$B$11,2,IF('Análisis de Riesgos'!G470='Tablas AR'!$B$12,3,"")))</f>
        <v/>
      </c>
      <c r="I470" s="76">
        <f t="shared" si="1"/>
        <v>0</v>
      </c>
    </row>
    <row r="471" ht="14.25" customHeight="1">
      <c r="B471" s="84" t="str">
        <f t="array" ref="B471">IFERROR(INDEX(Activos!$B$3:$C$16, MATCH(C471,Activos!$B$3:$B$16),2),"")</f>
        <v/>
      </c>
      <c r="C471" s="84"/>
      <c r="D471" s="84"/>
      <c r="E471" s="76"/>
      <c r="F471" s="76" t="str">
        <f>IF(E471='Tablas AR'!$B$4,1,IF('Análisis de Riesgos'!E471='Tablas AR'!$B$5,2,IF('Análisis de Riesgos'!E471='Tablas AR'!$B$6,3,"")))</f>
        <v/>
      </c>
      <c r="G471" s="76"/>
      <c r="H471" s="76" t="str">
        <f>IF(G471='Tablas AR'!$B$10,1,IF('Análisis de Riesgos'!G471='Tablas AR'!$B$11,2,IF('Análisis de Riesgos'!G471='Tablas AR'!$B$12,3,"")))</f>
        <v/>
      </c>
      <c r="I471" s="76">
        <f t="shared" si="1"/>
        <v>0</v>
      </c>
    </row>
    <row r="472" ht="14.25" customHeight="1">
      <c r="B472" s="84" t="str">
        <f t="array" ref="B472">IFERROR(INDEX(Activos!$B$3:$C$16, MATCH(C472,Activos!$B$3:$B$16),2),"")</f>
        <v/>
      </c>
      <c r="C472" s="84"/>
      <c r="D472" s="84"/>
      <c r="E472" s="76"/>
      <c r="F472" s="76" t="str">
        <f>IF(E472='Tablas AR'!$B$4,1,IF('Análisis de Riesgos'!E472='Tablas AR'!$B$5,2,IF('Análisis de Riesgos'!E472='Tablas AR'!$B$6,3,"")))</f>
        <v/>
      </c>
      <c r="G472" s="76"/>
      <c r="H472" s="76" t="str">
        <f>IF(G472='Tablas AR'!$B$10,1,IF('Análisis de Riesgos'!G472='Tablas AR'!$B$11,2,IF('Análisis de Riesgos'!G472='Tablas AR'!$B$12,3,"")))</f>
        <v/>
      </c>
      <c r="I472" s="76">
        <f t="shared" si="1"/>
        <v>0</v>
      </c>
    </row>
    <row r="473" ht="14.25" customHeight="1">
      <c r="B473" s="84" t="str">
        <f t="array" ref="B473">IFERROR(INDEX(Activos!$B$3:$C$16, MATCH(C473,Activos!$B$3:$B$16),2),"")</f>
        <v/>
      </c>
      <c r="C473" s="84"/>
      <c r="D473" s="84"/>
      <c r="E473" s="76"/>
      <c r="F473" s="76" t="str">
        <f>IF(E473='Tablas AR'!$B$4,1,IF('Análisis de Riesgos'!E473='Tablas AR'!$B$5,2,IF('Análisis de Riesgos'!E473='Tablas AR'!$B$6,3,"")))</f>
        <v/>
      </c>
      <c r="G473" s="76"/>
      <c r="H473" s="76" t="str">
        <f>IF(G473='Tablas AR'!$B$10,1,IF('Análisis de Riesgos'!G473='Tablas AR'!$B$11,2,IF('Análisis de Riesgos'!G473='Tablas AR'!$B$12,3,"")))</f>
        <v/>
      </c>
      <c r="I473" s="76">
        <f t="shared" si="1"/>
        <v>0</v>
      </c>
    </row>
    <row r="474" ht="14.25" customHeight="1">
      <c r="B474" s="84" t="str">
        <f t="array" ref="B474">IFERROR(INDEX(Activos!$B$3:$C$16, MATCH(C474,Activos!$B$3:$B$16),2),"")</f>
        <v/>
      </c>
      <c r="C474" s="84"/>
      <c r="D474" s="84"/>
      <c r="E474" s="76"/>
      <c r="F474" s="76" t="str">
        <f>IF(E474='Tablas AR'!$B$4,1,IF('Análisis de Riesgos'!E474='Tablas AR'!$B$5,2,IF('Análisis de Riesgos'!E474='Tablas AR'!$B$6,3,"")))</f>
        <v/>
      </c>
      <c r="G474" s="76"/>
      <c r="H474" s="76" t="str">
        <f>IF(G474='Tablas AR'!$B$10,1,IF('Análisis de Riesgos'!G474='Tablas AR'!$B$11,2,IF('Análisis de Riesgos'!G474='Tablas AR'!$B$12,3,"")))</f>
        <v/>
      </c>
      <c r="I474" s="76">
        <f t="shared" si="1"/>
        <v>0</v>
      </c>
    </row>
    <row r="475" ht="14.25" customHeight="1">
      <c r="B475" s="84" t="str">
        <f t="array" ref="B475">IFERROR(INDEX(Activos!$B$3:$C$16, MATCH(C475,Activos!$B$3:$B$16),2),"")</f>
        <v/>
      </c>
      <c r="C475" s="84"/>
      <c r="D475" s="84"/>
      <c r="E475" s="76"/>
      <c r="F475" s="76" t="str">
        <f>IF(E475='Tablas AR'!$B$4,1,IF('Análisis de Riesgos'!E475='Tablas AR'!$B$5,2,IF('Análisis de Riesgos'!E475='Tablas AR'!$B$6,3,"")))</f>
        <v/>
      </c>
      <c r="G475" s="76"/>
      <c r="H475" s="76" t="str">
        <f>IF(G475='Tablas AR'!$B$10,1,IF('Análisis de Riesgos'!G475='Tablas AR'!$B$11,2,IF('Análisis de Riesgos'!G475='Tablas AR'!$B$12,3,"")))</f>
        <v/>
      </c>
      <c r="I475" s="76">
        <f t="shared" si="1"/>
        <v>0</v>
      </c>
    </row>
    <row r="476" ht="14.25" customHeight="1">
      <c r="B476" s="84" t="str">
        <f t="array" ref="B476">IFERROR(INDEX(Activos!$B$3:$C$16, MATCH(C476,Activos!$B$3:$B$16),2),"")</f>
        <v/>
      </c>
      <c r="C476" s="84"/>
      <c r="D476" s="84"/>
      <c r="E476" s="76"/>
      <c r="F476" s="76" t="str">
        <f>IF(E476='Tablas AR'!$B$4,1,IF('Análisis de Riesgos'!E476='Tablas AR'!$B$5,2,IF('Análisis de Riesgos'!E476='Tablas AR'!$B$6,3,"")))</f>
        <v/>
      </c>
      <c r="G476" s="76"/>
      <c r="H476" s="76" t="str">
        <f>IF(G476='Tablas AR'!$B$10,1,IF('Análisis de Riesgos'!G476='Tablas AR'!$B$11,2,IF('Análisis de Riesgos'!G476='Tablas AR'!$B$12,3,"")))</f>
        <v/>
      </c>
      <c r="I476" s="76">
        <f t="shared" si="1"/>
        <v>0</v>
      </c>
    </row>
    <row r="477" ht="14.25" customHeight="1">
      <c r="B477" s="84" t="str">
        <f t="array" ref="B477">IFERROR(INDEX(Activos!$B$3:$C$16, MATCH(C477,Activos!$B$3:$B$16),2),"")</f>
        <v/>
      </c>
      <c r="C477" s="84"/>
      <c r="D477" s="84"/>
      <c r="E477" s="76"/>
      <c r="F477" s="76" t="str">
        <f>IF(E477='Tablas AR'!$B$4,1,IF('Análisis de Riesgos'!E477='Tablas AR'!$B$5,2,IF('Análisis de Riesgos'!E477='Tablas AR'!$B$6,3,"")))</f>
        <v/>
      </c>
      <c r="G477" s="76"/>
      <c r="H477" s="76" t="str">
        <f>IF(G477='Tablas AR'!$B$10,1,IF('Análisis de Riesgos'!G477='Tablas AR'!$B$11,2,IF('Análisis de Riesgos'!G477='Tablas AR'!$B$12,3,"")))</f>
        <v/>
      </c>
      <c r="I477" s="76">
        <f t="shared" si="1"/>
        <v>0</v>
      </c>
    </row>
    <row r="478" ht="14.25" customHeight="1">
      <c r="B478" s="84" t="str">
        <f t="array" ref="B478">IFERROR(INDEX(Activos!$B$3:$C$16, MATCH(C478,Activos!$B$3:$B$16),2),"")</f>
        <v/>
      </c>
      <c r="C478" s="84"/>
      <c r="D478" s="84"/>
      <c r="E478" s="76"/>
      <c r="F478" s="76" t="str">
        <f>IF(E478='Tablas AR'!$B$4,1,IF('Análisis de Riesgos'!E478='Tablas AR'!$B$5,2,IF('Análisis de Riesgos'!E478='Tablas AR'!$B$6,3,"")))</f>
        <v/>
      </c>
      <c r="G478" s="76"/>
      <c r="H478" s="76" t="str">
        <f>IF(G478='Tablas AR'!$B$10,1,IF('Análisis de Riesgos'!G478='Tablas AR'!$B$11,2,IF('Análisis de Riesgos'!G478='Tablas AR'!$B$12,3,"")))</f>
        <v/>
      </c>
      <c r="I478" s="76">
        <f t="shared" si="1"/>
        <v>0</v>
      </c>
    </row>
    <row r="479" ht="14.25" customHeight="1">
      <c r="B479" s="84" t="str">
        <f t="array" ref="B479">IFERROR(INDEX(Activos!$B$3:$C$16, MATCH(C479,Activos!$B$3:$B$16),2),"")</f>
        <v/>
      </c>
      <c r="C479" s="84"/>
      <c r="D479" s="84"/>
      <c r="E479" s="76"/>
      <c r="F479" s="76" t="str">
        <f>IF(E479='Tablas AR'!$B$4,1,IF('Análisis de Riesgos'!E479='Tablas AR'!$B$5,2,IF('Análisis de Riesgos'!E479='Tablas AR'!$B$6,3,"")))</f>
        <v/>
      </c>
      <c r="G479" s="76"/>
      <c r="H479" s="76" t="str">
        <f>IF(G479='Tablas AR'!$B$10,1,IF('Análisis de Riesgos'!G479='Tablas AR'!$B$11,2,IF('Análisis de Riesgos'!G479='Tablas AR'!$B$12,3,"")))</f>
        <v/>
      </c>
      <c r="I479" s="76">
        <f t="shared" si="1"/>
        <v>0</v>
      </c>
    </row>
    <row r="480" ht="14.25" customHeight="1">
      <c r="B480" s="84" t="str">
        <f t="array" ref="B480">IFERROR(INDEX(Activos!$B$3:$C$16, MATCH(C480,Activos!$B$3:$B$16),2),"")</f>
        <v/>
      </c>
      <c r="C480" s="84"/>
      <c r="D480" s="84"/>
      <c r="E480" s="76"/>
      <c r="F480" s="76" t="str">
        <f>IF(E480='Tablas AR'!$B$4,1,IF('Análisis de Riesgos'!E480='Tablas AR'!$B$5,2,IF('Análisis de Riesgos'!E480='Tablas AR'!$B$6,3,"")))</f>
        <v/>
      </c>
      <c r="G480" s="76"/>
      <c r="H480" s="76" t="str">
        <f>IF(G480='Tablas AR'!$B$10,1,IF('Análisis de Riesgos'!G480='Tablas AR'!$B$11,2,IF('Análisis de Riesgos'!G480='Tablas AR'!$B$12,3,"")))</f>
        <v/>
      </c>
      <c r="I480" s="76">
        <f t="shared" si="1"/>
        <v>0</v>
      </c>
    </row>
    <row r="481" ht="14.25" customHeight="1">
      <c r="B481" s="84" t="str">
        <f t="array" ref="B481">IFERROR(INDEX(Activos!$B$3:$C$16, MATCH(C481,Activos!$B$3:$B$16),2),"")</f>
        <v/>
      </c>
      <c r="C481" s="84"/>
      <c r="D481" s="84"/>
      <c r="E481" s="76"/>
      <c r="F481" s="76" t="str">
        <f>IF(E481='Tablas AR'!$B$4,1,IF('Análisis de Riesgos'!E481='Tablas AR'!$B$5,2,IF('Análisis de Riesgos'!E481='Tablas AR'!$B$6,3,"")))</f>
        <v/>
      </c>
      <c r="G481" s="76"/>
      <c r="H481" s="76" t="str">
        <f>IF(G481='Tablas AR'!$B$10,1,IF('Análisis de Riesgos'!G481='Tablas AR'!$B$11,2,IF('Análisis de Riesgos'!G481='Tablas AR'!$B$12,3,"")))</f>
        <v/>
      </c>
      <c r="I481" s="76">
        <f t="shared" si="1"/>
        <v>0</v>
      </c>
    </row>
    <row r="482" ht="14.25" customHeight="1">
      <c r="B482" s="84" t="str">
        <f t="array" ref="B482">IFERROR(INDEX(Activos!$B$3:$C$16, MATCH(C482,Activos!$B$3:$B$16),2),"")</f>
        <v/>
      </c>
      <c r="C482" s="84"/>
      <c r="D482" s="84"/>
      <c r="E482" s="76"/>
      <c r="F482" s="76" t="str">
        <f>IF(E482='Tablas AR'!$B$4,1,IF('Análisis de Riesgos'!E482='Tablas AR'!$B$5,2,IF('Análisis de Riesgos'!E482='Tablas AR'!$B$6,3,"")))</f>
        <v/>
      </c>
      <c r="G482" s="76"/>
      <c r="H482" s="76" t="str">
        <f>IF(G482='Tablas AR'!$B$10,1,IF('Análisis de Riesgos'!G482='Tablas AR'!$B$11,2,IF('Análisis de Riesgos'!G482='Tablas AR'!$B$12,3,"")))</f>
        <v/>
      </c>
      <c r="I482" s="76">
        <f t="shared" si="1"/>
        <v>0</v>
      </c>
    </row>
    <row r="483" ht="14.25" customHeight="1">
      <c r="B483" s="84" t="str">
        <f t="array" ref="B483">IFERROR(INDEX(Activos!$B$3:$C$16, MATCH(C483,Activos!$B$3:$B$16),2),"")</f>
        <v/>
      </c>
      <c r="C483" s="84"/>
      <c r="D483" s="84"/>
      <c r="E483" s="76"/>
      <c r="F483" s="76" t="str">
        <f>IF(E483='Tablas AR'!$B$4,1,IF('Análisis de Riesgos'!E483='Tablas AR'!$B$5,2,IF('Análisis de Riesgos'!E483='Tablas AR'!$B$6,3,"")))</f>
        <v/>
      </c>
      <c r="G483" s="76"/>
      <c r="H483" s="76" t="str">
        <f>IF(G483='Tablas AR'!$B$10,1,IF('Análisis de Riesgos'!G483='Tablas AR'!$B$11,2,IF('Análisis de Riesgos'!G483='Tablas AR'!$B$12,3,"")))</f>
        <v/>
      </c>
      <c r="I483" s="76">
        <f t="shared" si="1"/>
        <v>0</v>
      </c>
    </row>
    <row r="484" ht="14.25" customHeight="1">
      <c r="B484" s="84" t="str">
        <f t="array" ref="B484">IFERROR(INDEX(Activos!$B$3:$C$16, MATCH(C484,Activos!$B$3:$B$16),2),"")</f>
        <v/>
      </c>
      <c r="C484" s="84"/>
      <c r="D484" s="84"/>
      <c r="E484" s="76"/>
      <c r="F484" s="76" t="str">
        <f>IF(E484='Tablas AR'!$B$4,1,IF('Análisis de Riesgos'!E484='Tablas AR'!$B$5,2,IF('Análisis de Riesgos'!E484='Tablas AR'!$B$6,3,"")))</f>
        <v/>
      </c>
      <c r="G484" s="76"/>
      <c r="H484" s="76" t="str">
        <f>IF(G484='Tablas AR'!$B$10,1,IF('Análisis de Riesgos'!G484='Tablas AR'!$B$11,2,IF('Análisis de Riesgos'!G484='Tablas AR'!$B$12,3,"")))</f>
        <v/>
      </c>
      <c r="I484" s="76">
        <f t="shared" si="1"/>
        <v>0</v>
      </c>
    </row>
    <row r="485" ht="14.25" customHeight="1">
      <c r="B485" s="84" t="str">
        <f t="array" ref="B485">IFERROR(INDEX(Activos!$B$3:$C$16, MATCH(C485,Activos!$B$3:$B$16),2),"")</f>
        <v/>
      </c>
      <c r="C485" s="84"/>
      <c r="D485" s="84"/>
      <c r="E485" s="76"/>
      <c r="F485" s="76" t="str">
        <f>IF(E485='Tablas AR'!$B$4,1,IF('Análisis de Riesgos'!E485='Tablas AR'!$B$5,2,IF('Análisis de Riesgos'!E485='Tablas AR'!$B$6,3,"")))</f>
        <v/>
      </c>
      <c r="G485" s="76"/>
      <c r="H485" s="76" t="str">
        <f>IF(G485='Tablas AR'!$B$10,1,IF('Análisis de Riesgos'!G485='Tablas AR'!$B$11,2,IF('Análisis de Riesgos'!G485='Tablas AR'!$B$12,3,"")))</f>
        <v/>
      </c>
      <c r="I485" s="76">
        <f t="shared" si="1"/>
        <v>0</v>
      </c>
    </row>
    <row r="486" ht="14.25" customHeight="1">
      <c r="B486" s="84" t="str">
        <f t="array" ref="B486">IFERROR(INDEX(Activos!$B$3:$C$16, MATCH(C486,Activos!$B$3:$B$16),2),"")</f>
        <v/>
      </c>
      <c r="C486" s="84"/>
      <c r="D486" s="84"/>
      <c r="E486" s="76"/>
      <c r="F486" s="76" t="str">
        <f>IF(E486='Tablas AR'!$B$4,1,IF('Análisis de Riesgos'!E486='Tablas AR'!$B$5,2,IF('Análisis de Riesgos'!E486='Tablas AR'!$B$6,3,"")))</f>
        <v/>
      </c>
      <c r="G486" s="76"/>
      <c r="H486" s="76" t="str">
        <f>IF(G486='Tablas AR'!$B$10,1,IF('Análisis de Riesgos'!G486='Tablas AR'!$B$11,2,IF('Análisis de Riesgos'!G486='Tablas AR'!$B$12,3,"")))</f>
        <v/>
      </c>
      <c r="I486" s="76">
        <f t="shared" si="1"/>
        <v>0</v>
      </c>
    </row>
    <row r="487" ht="14.25" customHeight="1">
      <c r="B487" s="84" t="str">
        <f t="array" ref="B487">IFERROR(INDEX(Activos!$B$3:$C$16, MATCH(C487,Activos!$B$3:$B$16),2),"")</f>
        <v/>
      </c>
      <c r="C487" s="84"/>
      <c r="D487" s="84"/>
      <c r="E487" s="76"/>
      <c r="F487" s="76" t="str">
        <f>IF(E487='Tablas AR'!$B$4,1,IF('Análisis de Riesgos'!E487='Tablas AR'!$B$5,2,IF('Análisis de Riesgos'!E487='Tablas AR'!$B$6,3,"")))</f>
        <v/>
      </c>
      <c r="G487" s="76"/>
      <c r="H487" s="76" t="str">
        <f>IF(G487='Tablas AR'!$B$10,1,IF('Análisis de Riesgos'!G487='Tablas AR'!$B$11,2,IF('Análisis de Riesgos'!G487='Tablas AR'!$B$12,3,"")))</f>
        <v/>
      </c>
      <c r="I487" s="76">
        <f t="shared" si="1"/>
        <v>0</v>
      </c>
    </row>
    <row r="488" ht="14.25" customHeight="1">
      <c r="B488" s="84" t="str">
        <f t="array" ref="B488">IFERROR(INDEX(Activos!$B$3:$C$16, MATCH(C488,Activos!$B$3:$B$16),2),"")</f>
        <v/>
      </c>
      <c r="C488" s="84"/>
      <c r="D488" s="84"/>
      <c r="E488" s="76"/>
      <c r="F488" s="76" t="str">
        <f>IF(E488='Tablas AR'!$B$4,1,IF('Análisis de Riesgos'!E488='Tablas AR'!$B$5,2,IF('Análisis de Riesgos'!E488='Tablas AR'!$B$6,3,"")))</f>
        <v/>
      </c>
      <c r="G488" s="76"/>
      <c r="H488" s="76" t="str">
        <f>IF(G488='Tablas AR'!$B$10,1,IF('Análisis de Riesgos'!G488='Tablas AR'!$B$11,2,IF('Análisis de Riesgos'!G488='Tablas AR'!$B$12,3,"")))</f>
        <v/>
      </c>
      <c r="I488" s="76">
        <f t="shared" si="1"/>
        <v>0</v>
      </c>
    </row>
    <row r="489" ht="14.25" customHeight="1">
      <c r="B489" s="84" t="str">
        <f t="array" ref="B489">IFERROR(INDEX(Activos!$B$3:$C$16, MATCH(C489,Activos!$B$3:$B$16),2),"")</f>
        <v/>
      </c>
      <c r="C489" s="84"/>
      <c r="D489" s="84"/>
      <c r="E489" s="76"/>
      <c r="F489" s="76" t="str">
        <f>IF(E489='Tablas AR'!$B$4,1,IF('Análisis de Riesgos'!E489='Tablas AR'!$B$5,2,IF('Análisis de Riesgos'!E489='Tablas AR'!$B$6,3,"")))</f>
        <v/>
      </c>
      <c r="G489" s="76"/>
      <c r="H489" s="76" t="str">
        <f>IF(G489='Tablas AR'!$B$10,1,IF('Análisis de Riesgos'!G489='Tablas AR'!$B$11,2,IF('Análisis de Riesgos'!G489='Tablas AR'!$B$12,3,"")))</f>
        <v/>
      </c>
      <c r="I489" s="76">
        <f t="shared" si="1"/>
        <v>0</v>
      </c>
    </row>
    <row r="490" ht="14.25" customHeight="1">
      <c r="B490" s="84" t="str">
        <f t="array" ref="B490">IFERROR(INDEX(Activos!$B$3:$C$16, MATCH(C490,Activos!$B$3:$B$16),2),"")</f>
        <v/>
      </c>
      <c r="C490" s="84"/>
      <c r="D490" s="84"/>
      <c r="E490" s="76"/>
      <c r="F490" s="76" t="str">
        <f>IF(E490='Tablas AR'!$B$4,1,IF('Análisis de Riesgos'!E490='Tablas AR'!$B$5,2,IF('Análisis de Riesgos'!E490='Tablas AR'!$B$6,3,"")))</f>
        <v/>
      </c>
      <c r="G490" s="76"/>
      <c r="H490" s="76" t="str">
        <f>IF(G490='Tablas AR'!$B$10,1,IF('Análisis de Riesgos'!G490='Tablas AR'!$B$11,2,IF('Análisis de Riesgos'!G490='Tablas AR'!$B$12,3,"")))</f>
        <v/>
      </c>
      <c r="I490" s="76">
        <f t="shared" si="1"/>
        <v>0</v>
      </c>
    </row>
    <row r="491" ht="14.25" customHeight="1">
      <c r="B491" s="84" t="str">
        <f t="array" ref="B491">IFERROR(INDEX(Activos!$B$3:$C$16, MATCH(C491,Activos!$B$3:$B$16),2),"")</f>
        <v/>
      </c>
      <c r="C491" s="84"/>
      <c r="D491" s="84"/>
      <c r="E491" s="76"/>
      <c r="F491" s="76" t="str">
        <f>IF(E491='Tablas AR'!$B$4,1,IF('Análisis de Riesgos'!E491='Tablas AR'!$B$5,2,IF('Análisis de Riesgos'!E491='Tablas AR'!$B$6,3,"")))</f>
        <v/>
      </c>
      <c r="G491" s="76"/>
      <c r="H491" s="76" t="str">
        <f>IF(G491='Tablas AR'!$B$10,1,IF('Análisis de Riesgos'!G491='Tablas AR'!$B$11,2,IF('Análisis de Riesgos'!G491='Tablas AR'!$B$12,3,"")))</f>
        <v/>
      </c>
      <c r="I491" s="76">
        <f t="shared" si="1"/>
        <v>0</v>
      </c>
    </row>
    <row r="492" ht="14.25" customHeight="1">
      <c r="B492" s="84" t="str">
        <f t="array" ref="B492">IFERROR(INDEX(Activos!$B$3:$C$16, MATCH(C492,Activos!$B$3:$B$16),2),"")</f>
        <v/>
      </c>
      <c r="C492" s="84"/>
      <c r="D492" s="84"/>
      <c r="E492" s="76"/>
      <c r="F492" s="76" t="str">
        <f>IF(E492='Tablas AR'!$B$4,1,IF('Análisis de Riesgos'!E492='Tablas AR'!$B$5,2,IF('Análisis de Riesgos'!E492='Tablas AR'!$B$6,3,"")))</f>
        <v/>
      </c>
      <c r="G492" s="76"/>
      <c r="H492" s="76" t="str">
        <f>IF(G492='Tablas AR'!$B$10,1,IF('Análisis de Riesgos'!G492='Tablas AR'!$B$11,2,IF('Análisis de Riesgos'!G492='Tablas AR'!$B$12,3,"")))</f>
        <v/>
      </c>
      <c r="I492" s="76">
        <f t="shared" si="1"/>
        <v>0</v>
      </c>
    </row>
    <row r="493" ht="14.25" customHeight="1">
      <c r="B493" s="84" t="str">
        <f t="array" ref="B493">IFERROR(INDEX(Activos!$B$3:$C$16, MATCH(C493,Activos!$B$3:$B$16),2),"")</f>
        <v/>
      </c>
      <c r="C493" s="84"/>
      <c r="D493" s="84"/>
      <c r="E493" s="76"/>
      <c r="F493" s="76" t="str">
        <f>IF(E493='Tablas AR'!$B$4,1,IF('Análisis de Riesgos'!E493='Tablas AR'!$B$5,2,IF('Análisis de Riesgos'!E493='Tablas AR'!$B$6,3,"")))</f>
        <v/>
      </c>
      <c r="G493" s="76"/>
      <c r="H493" s="76" t="str">
        <f>IF(G493='Tablas AR'!$B$10,1,IF('Análisis de Riesgos'!G493='Tablas AR'!$B$11,2,IF('Análisis de Riesgos'!G493='Tablas AR'!$B$12,3,"")))</f>
        <v/>
      </c>
      <c r="I493" s="76">
        <f t="shared" si="1"/>
        <v>0</v>
      </c>
    </row>
    <row r="494" ht="14.25" customHeight="1">
      <c r="B494" s="84" t="str">
        <f t="array" ref="B494">IFERROR(INDEX(Activos!$B$3:$C$16, MATCH(C494,Activos!$B$3:$B$16),2),"")</f>
        <v/>
      </c>
      <c r="C494" s="84"/>
      <c r="D494" s="84"/>
      <c r="E494" s="76"/>
      <c r="F494" s="76" t="str">
        <f>IF(E494='Tablas AR'!$B$4,1,IF('Análisis de Riesgos'!E494='Tablas AR'!$B$5,2,IF('Análisis de Riesgos'!E494='Tablas AR'!$B$6,3,"")))</f>
        <v/>
      </c>
      <c r="G494" s="76"/>
      <c r="H494" s="76" t="str">
        <f>IF(G494='Tablas AR'!$B$10,1,IF('Análisis de Riesgos'!G494='Tablas AR'!$B$11,2,IF('Análisis de Riesgos'!G494='Tablas AR'!$B$12,3,"")))</f>
        <v/>
      </c>
      <c r="I494" s="76">
        <f t="shared" si="1"/>
        <v>0</v>
      </c>
    </row>
    <row r="495" ht="14.25" customHeight="1">
      <c r="B495" s="84" t="str">
        <f t="array" ref="B495">IFERROR(INDEX(Activos!$B$3:$C$16, MATCH(C495,Activos!$B$3:$B$16),2),"")</f>
        <v/>
      </c>
      <c r="C495" s="84"/>
      <c r="D495" s="84"/>
      <c r="E495" s="76"/>
      <c r="F495" s="76" t="str">
        <f>IF(E495='Tablas AR'!$B$4,1,IF('Análisis de Riesgos'!E495='Tablas AR'!$B$5,2,IF('Análisis de Riesgos'!E495='Tablas AR'!$B$6,3,"")))</f>
        <v/>
      </c>
      <c r="G495" s="76"/>
      <c r="H495" s="76" t="str">
        <f>IF(G495='Tablas AR'!$B$10,1,IF('Análisis de Riesgos'!G495='Tablas AR'!$B$11,2,IF('Análisis de Riesgos'!G495='Tablas AR'!$B$12,3,"")))</f>
        <v/>
      </c>
      <c r="I495" s="76">
        <f t="shared" si="1"/>
        <v>0</v>
      </c>
    </row>
    <row r="496" ht="14.25" customHeight="1">
      <c r="B496" s="84" t="str">
        <f t="array" ref="B496">IFERROR(INDEX(Activos!$B$3:$C$16, MATCH(C496,Activos!$B$3:$B$16),2),"")</f>
        <v/>
      </c>
      <c r="C496" s="84"/>
      <c r="D496" s="84"/>
      <c r="E496" s="76"/>
      <c r="F496" s="76" t="str">
        <f>IF(E496='Tablas AR'!$B$4,1,IF('Análisis de Riesgos'!E496='Tablas AR'!$B$5,2,IF('Análisis de Riesgos'!E496='Tablas AR'!$B$6,3,"")))</f>
        <v/>
      </c>
      <c r="G496" s="76"/>
      <c r="H496" s="76" t="str">
        <f>IF(G496='Tablas AR'!$B$10,1,IF('Análisis de Riesgos'!G496='Tablas AR'!$B$11,2,IF('Análisis de Riesgos'!G496='Tablas AR'!$B$12,3,"")))</f>
        <v/>
      </c>
      <c r="I496" s="76">
        <f t="shared" si="1"/>
        <v>0</v>
      </c>
    </row>
    <row r="497" ht="14.25" customHeight="1">
      <c r="B497" s="84" t="str">
        <f t="array" ref="B497">IFERROR(INDEX(Activos!$B$3:$C$16, MATCH(C497,Activos!$B$3:$B$16),2),"")</f>
        <v/>
      </c>
      <c r="C497" s="84"/>
      <c r="D497" s="84"/>
      <c r="E497" s="76"/>
      <c r="F497" s="76" t="str">
        <f>IF(E497='Tablas AR'!$B$4,1,IF('Análisis de Riesgos'!E497='Tablas AR'!$B$5,2,IF('Análisis de Riesgos'!E497='Tablas AR'!$B$6,3,"")))</f>
        <v/>
      </c>
      <c r="G497" s="76"/>
      <c r="H497" s="76" t="str">
        <f>IF(G497='Tablas AR'!$B$10,1,IF('Análisis de Riesgos'!G497='Tablas AR'!$B$11,2,IF('Análisis de Riesgos'!G497='Tablas AR'!$B$12,3,"")))</f>
        <v/>
      </c>
      <c r="I497" s="76">
        <f t="shared" si="1"/>
        <v>0</v>
      </c>
    </row>
    <row r="498" ht="14.25" customHeight="1">
      <c r="B498" s="84" t="str">
        <f t="array" ref="B498">IFERROR(INDEX(Activos!$B$3:$C$16, MATCH(C498,Activos!$B$3:$B$16),2),"")</f>
        <v/>
      </c>
      <c r="C498" s="84"/>
      <c r="D498" s="84"/>
      <c r="E498" s="76"/>
      <c r="F498" s="76" t="str">
        <f>IF(E498='Tablas AR'!$B$4,1,IF('Análisis de Riesgos'!E498='Tablas AR'!$B$5,2,IF('Análisis de Riesgos'!E498='Tablas AR'!$B$6,3,"")))</f>
        <v/>
      </c>
      <c r="G498" s="76"/>
      <c r="H498" s="76" t="str">
        <f>IF(G498='Tablas AR'!$B$10,1,IF('Análisis de Riesgos'!G498='Tablas AR'!$B$11,2,IF('Análisis de Riesgos'!G498='Tablas AR'!$B$12,3,"")))</f>
        <v/>
      </c>
      <c r="I498" s="76">
        <f t="shared" si="1"/>
        <v>0</v>
      </c>
    </row>
    <row r="499" ht="14.25" customHeight="1">
      <c r="B499" s="84" t="str">
        <f t="array" ref="B499">IFERROR(INDEX(Activos!$B$3:$C$16, MATCH(C499,Activos!$B$3:$B$16),2),"")</f>
        <v/>
      </c>
      <c r="C499" s="84"/>
      <c r="D499" s="84"/>
      <c r="E499" s="76"/>
      <c r="F499" s="76" t="str">
        <f>IF(E499='Tablas AR'!$B$4,1,IF('Análisis de Riesgos'!E499='Tablas AR'!$B$5,2,IF('Análisis de Riesgos'!E499='Tablas AR'!$B$6,3,"")))</f>
        <v/>
      </c>
      <c r="G499" s="76"/>
      <c r="H499" s="76" t="str">
        <f>IF(G499='Tablas AR'!$B$10,1,IF('Análisis de Riesgos'!G499='Tablas AR'!$B$11,2,IF('Análisis de Riesgos'!G499='Tablas AR'!$B$12,3,"")))</f>
        <v/>
      </c>
      <c r="I499" s="76">
        <f t="shared" si="1"/>
        <v>0</v>
      </c>
    </row>
    <row r="500" ht="14.25" customHeight="1">
      <c r="B500" s="84" t="str">
        <f t="array" ref="B500">IFERROR(INDEX(Activos!$B$3:$C$16, MATCH(C500,Activos!$B$3:$B$16),2),"")</f>
        <v/>
      </c>
      <c r="C500" s="84"/>
      <c r="D500" s="84"/>
      <c r="E500" s="76"/>
      <c r="F500" s="76" t="str">
        <f>IF(E500='Tablas AR'!$B$4,1,IF('Análisis de Riesgos'!E500='Tablas AR'!$B$5,2,IF('Análisis de Riesgos'!E500='Tablas AR'!$B$6,3,"")))</f>
        <v/>
      </c>
      <c r="G500" s="76"/>
      <c r="H500" s="76" t="str">
        <f>IF(G500='Tablas AR'!$B$10,1,IF('Análisis de Riesgos'!G500='Tablas AR'!$B$11,2,IF('Análisis de Riesgos'!G500='Tablas AR'!$B$12,3,"")))</f>
        <v/>
      </c>
      <c r="I500" s="76">
        <f t="shared" si="1"/>
        <v>0</v>
      </c>
    </row>
    <row r="501" ht="14.25" customHeight="1">
      <c r="B501" s="84" t="str">
        <f t="array" ref="B501">IFERROR(INDEX(Activos!$B$3:$C$16, MATCH(C501,Activos!$B$3:$B$16),2),"")</f>
        <v/>
      </c>
      <c r="C501" s="84"/>
      <c r="D501" s="84"/>
      <c r="E501" s="76"/>
      <c r="F501" s="76" t="str">
        <f>IF(E501='Tablas AR'!$B$4,1,IF('Análisis de Riesgos'!E501='Tablas AR'!$B$5,2,IF('Análisis de Riesgos'!E501='Tablas AR'!$B$6,3,"")))</f>
        <v/>
      </c>
      <c r="G501" s="76"/>
      <c r="H501" s="76" t="str">
        <f>IF(G501='Tablas AR'!$B$10,1,IF('Análisis de Riesgos'!G501='Tablas AR'!$B$11,2,IF('Análisis de Riesgos'!G501='Tablas AR'!$B$12,3,"")))</f>
        <v/>
      </c>
      <c r="I501" s="76">
        <f t="shared" si="1"/>
        <v>0</v>
      </c>
    </row>
    <row r="502" ht="14.25" customHeight="1">
      <c r="B502" s="84" t="str">
        <f t="array" ref="B502">IFERROR(INDEX(Activos!$B$3:$C$16, MATCH(C502,Activos!$B$3:$B$16),2),"")</f>
        <v/>
      </c>
      <c r="C502" s="84"/>
      <c r="D502" s="84"/>
      <c r="E502" s="76"/>
      <c r="F502" s="76" t="str">
        <f>IF(E502='Tablas AR'!$B$4,1,IF('Análisis de Riesgos'!E502='Tablas AR'!$B$5,2,IF('Análisis de Riesgos'!E502='Tablas AR'!$B$6,3,"")))</f>
        <v/>
      </c>
      <c r="G502" s="76"/>
      <c r="H502" s="76" t="str">
        <f>IF(G502='Tablas AR'!$B$10,1,IF('Análisis de Riesgos'!G502='Tablas AR'!$B$11,2,IF('Análisis de Riesgos'!G502='Tablas AR'!$B$12,3,"")))</f>
        <v/>
      </c>
      <c r="I502" s="76">
        <f t="shared" si="1"/>
        <v>0</v>
      </c>
    </row>
    <row r="503" ht="14.25" customHeight="1">
      <c r="B503" s="84" t="str">
        <f t="array" ref="B503">IFERROR(INDEX(Activos!$B$3:$C$16, MATCH(C503,Activos!$B$3:$B$16),2),"")</f>
        <v/>
      </c>
      <c r="C503" s="84"/>
      <c r="D503" s="84"/>
      <c r="E503" s="76"/>
      <c r="F503" s="76" t="str">
        <f>IF(E503='Tablas AR'!$B$4,1,IF('Análisis de Riesgos'!E503='Tablas AR'!$B$5,2,IF('Análisis de Riesgos'!E503='Tablas AR'!$B$6,3,"")))</f>
        <v/>
      </c>
      <c r="G503" s="76"/>
      <c r="H503" s="76" t="str">
        <f>IF(G503='Tablas AR'!$B$10,1,IF('Análisis de Riesgos'!G503='Tablas AR'!$B$11,2,IF('Análisis de Riesgos'!G503='Tablas AR'!$B$12,3,"")))</f>
        <v/>
      </c>
      <c r="I503" s="76">
        <f t="shared" si="1"/>
        <v>0</v>
      </c>
    </row>
    <row r="504" ht="14.25" customHeight="1">
      <c r="B504" s="84" t="str">
        <f t="array" ref="B504">IFERROR(INDEX(Activos!$B$3:$C$16, MATCH(C504,Activos!$B$3:$B$16),2),"")</f>
        <v/>
      </c>
      <c r="C504" s="84"/>
      <c r="D504" s="84"/>
      <c r="E504" s="76"/>
      <c r="F504" s="76" t="str">
        <f>IF(E504='Tablas AR'!$B$4,1,IF('Análisis de Riesgos'!E504='Tablas AR'!$B$5,2,IF('Análisis de Riesgos'!E504='Tablas AR'!$B$6,3,"")))</f>
        <v/>
      </c>
      <c r="G504" s="76"/>
      <c r="H504" s="76" t="str">
        <f>IF(G504='Tablas AR'!$B$10,1,IF('Análisis de Riesgos'!G504='Tablas AR'!$B$11,2,IF('Análisis de Riesgos'!G504='Tablas AR'!$B$12,3,"")))</f>
        <v/>
      </c>
      <c r="I504" s="76">
        <f t="shared" si="1"/>
        <v>0</v>
      </c>
    </row>
    <row r="505" ht="14.25" customHeight="1">
      <c r="B505" s="84" t="str">
        <f t="array" ref="B505">IFERROR(INDEX(Activos!$B$3:$C$16, MATCH(C505,Activos!$B$3:$B$16),2),"")</f>
        <v/>
      </c>
      <c r="C505" s="84"/>
      <c r="D505" s="84"/>
      <c r="E505" s="76"/>
      <c r="F505" s="76" t="str">
        <f>IF(E505='Tablas AR'!$B$4,1,IF('Análisis de Riesgos'!E505='Tablas AR'!$B$5,2,IF('Análisis de Riesgos'!E505='Tablas AR'!$B$6,3,"")))</f>
        <v/>
      </c>
      <c r="G505" s="76"/>
      <c r="H505" s="76" t="str">
        <f>IF(G505='Tablas AR'!$B$10,1,IF('Análisis de Riesgos'!G505='Tablas AR'!$B$11,2,IF('Análisis de Riesgos'!G505='Tablas AR'!$B$12,3,"")))</f>
        <v/>
      </c>
      <c r="I505" s="76">
        <f t="shared" si="1"/>
        <v>0</v>
      </c>
    </row>
    <row r="506" ht="14.25" customHeight="1">
      <c r="B506" s="84" t="str">
        <f t="array" ref="B506">IFERROR(INDEX(Activos!$B$3:$C$16, MATCH(C506,Activos!$B$3:$B$16),2),"")</f>
        <v/>
      </c>
      <c r="C506" s="84"/>
      <c r="D506" s="84"/>
      <c r="E506" s="76"/>
      <c r="F506" s="76" t="str">
        <f>IF(E506='Tablas AR'!$B$4,1,IF('Análisis de Riesgos'!E506='Tablas AR'!$B$5,2,IF('Análisis de Riesgos'!E506='Tablas AR'!$B$6,3,"")))</f>
        <v/>
      </c>
      <c r="G506" s="76"/>
      <c r="H506" s="76" t="str">
        <f>IF(G506='Tablas AR'!$B$10,1,IF('Análisis de Riesgos'!G506='Tablas AR'!$B$11,2,IF('Análisis de Riesgos'!G506='Tablas AR'!$B$12,3,"")))</f>
        <v/>
      </c>
      <c r="I506" s="76">
        <f t="shared" si="1"/>
        <v>0</v>
      </c>
    </row>
    <row r="507" ht="14.25" customHeight="1">
      <c r="B507" s="84" t="str">
        <f t="array" ref="B507">IFERROR(INDEX(Activos!$B$3:$C$16, MATCH(C507,Activos!$B$3:$B$16),2),"")</f>
        <v/>
      </c>
      <c r="C507" s="84"/>
      <c r="D507" s="84"/>
      <c r="E507" s="76"/>
      <c r="F507" s="76" t="str">
        <f>IF(E507='Tablas AR'!$B$4,1,IF('Análisis de Riesgos'!E507='Tablas AR'!$B$5,2,IF('Análisis de Riesgos'!E507='Tablas AR'!$B$6,3,"")))</f>
        <v/>
      </c>
      <c r="G507" s="76"/>
      <c r="H507" s="76" t="str">
        <f>IF(G507='Tablas AR'!$B$10,1,IF('Análisis de Riesgos'!G507='Tablas AR'!$B$11,2,IF('Análisis de Riesgos'!G507='Tablas AR'!$B$12,3,"")))</f>
        <v/>
      </c>
      <c r="I507" s="76">
        <f t="shared" si="1"/>
        <v>0</v>
      </c>
    </row>
    <row r="508" ht="14.25" customHeight="1">
      <c r="B508" s="84" t="str">
        <f t="array" ref="B508">IFERROR(INDEX(Activos!$B$3:$C$16, MATCH(C508,Activos!$B$3:$B$16),2),"")</f>
        <v/>
      </c>
      <c r="C508" s="84"/>
      <c r="D508" s="84"/>
      <c r="E508" s="76"/>
      <c r="F508" s="76" t="str">
        <f>IF(E508='Tablas AR'!$B$4,1,IF('Análisis de Riesgos'!E508='Tablas AR'!$B$5,2,IF('Análisis de Riesgos'!E508='Tablas AR'!$B$6,3,"")))</f>
        <v/>
      </c>
      <c r="G508" s="76"/>
      <c r="H508" s="76" t="str">
        <f>IF(G508='Tablas AR'!$B$10,1,IF('Análisis de Riesgos'!G508='Tablas AR'!$B$11,2,IF('Análisis de Riesgos'!G508='Tablas AR'!$B$12,3,"")))</f>
        <v/>
      </c>
      <c r="I508" s="76">
        <f t="shared" si="1"/>
        <v>0</v>
      </c>
    </row>
    <row r="509" ht="14.25" customHeight="1">
      <c r="B509" s="84" t="str">
        <f t="array" ref="B509">IFERROR(INDEX(Activos!$B$3:$C$16, MATCH(C509,Activos!$B$3:$B$16),2),"")</f>
        <v/>
      </c>
      <c r="C509" s="84"/>
      <c r="D509" s="84"/>
      <c r="E509" s="76"/>
      <c r="F509" s="76" t="str">
        <f>IF(E509='Tablas AR'!$B$4,1,IF('Análisis de Riesgos'!E509='Tablas AR'!$B$5,2,IF('Análisis de Riesgos'!E509='Tablas AR'!$B$6,3,"")))</f>
        <v/>
      </c>
      <c r="G509" s="76"/>
      <c r="H509" s="76" t="str">
        <f>IF(G509='Tablas AR'!$B$10,1,IF('Análisis de Riesgos'!G509='Tablas AR'!$B$11,2,IF('Análisis de Riesgos'!G509='Tablas AR'!$B$12,3,"")))</f>
        <v/>
      </c>
      <c r="I509" s="76">
        <f t="shared" si="1"/>
        <v>0</v>
      </c>
    </row>
    <row r="510" ht="14.25" customHeight="1">
      <c r="B510" s="84" t="str">
        <f t="array" ref="B510">IFERROR(INDEX(Activos!$B$3:$C$16, MATCH(C510,Activos!$B$3:$B$16),2),"")</f>
        <v/>
      </c>
      <c r="C510" s="84"/>
      <c r="D510" s="84"/>
      <c r="E510" s="76"/>
      <c r="F510" s="76" t="str">
        <f>IF(E510='Tablas AR'!$B$4,1,IF('Análisis de Riesgos'!E510='Tablas AR'!$B$5,2,IF('Análisis de Riesgos'!E510='Tablas AR'!$B$6,3,"")))</f>
        <v/>
      </c>
      <c r="G510" s="76"/>
      <c r="H510" s="76" t="str">
        <f>IF(G510='Tablas AR'!$B$10,1,IF('Análisis de Riesgos'!G510='Tablas AR'!$B$11,2,IF('Análisis de Riesgos'!G510='Tablas AR'!$B$12,3,"")))</f>
        <v/>
      </c>
      <c r="I510" s="76">
        <f t="shared" si="1"/>
        <v>0</v>
      </c>
    </row>
    <row r="511" ht="14.25" customHeight="1">
      <c r="B511" s="84" t="str">
        <f t="array" ref="B511">IFERROR(INDEX(Activos!$B$3:$C$16, MATCH(C511,Activos!$B$3:$B$16),2),"")</f>
        <v/>
      </c>
      <c r="C511" s="84"/>
      <c r="D511" s="84"/>
      <c r="E511" s="76"/>
      <c r="F511" s="76" t="str">
        <f>IF(E511='Tablas AR'!$B$4,1,IF('Análisis de Riesgos'!E511='Tablas AR'!$B$5,2,IF('Análisis de Riesgos'!E511='Tablas AR'!$B$6,3,"")))</f>
        <v/>
      </c>
      <c r="G511" s="76"/>
      <c r="H511" s="76" t="str">
        <f>IF(G511='Tablas AR'!$B$10,1,IF('Análisis de Riesgos'!G511='Tablas AR'!$B$11,2,IF('Análisis de Riesgos'!G511='Tablas AR'!$B$12,3,"")))</f>
        <v/>
      </c>
      <c r="I511" s="76">
        <f t="shared" si="1"/>
        <v>0</v>
      </c>
    </row>
    <row r="512" ht="14.25" customHeight="1">
      <c r="B512" s="84" t="str">
        <f t="array" ref="B512">IFERROR(INDEX(Activos!$B$3:$C$16, MATCH(C512,Activos!$B$3:$B$16),2),"")</f>
        <v/>
      </c>
      <c r="C512" s="84"/>
      <c r="D512" s="84"/>
      <c r="E512" s="76"/>
      <c r="F512" s="76" t="str">
        <f>IF(E512='Tablas AR'!$B$4,1,IF('Análisis de Riesgos'!E512='Tablas AR'!$B$5,2,IF('Análisis de Riesgos'!E512='Tablas AR'!$B$6,3,"")))</f>
        <v/>
      </c>
      <c r="G512" s="76"/>
      <c r="H512" s="76" t="str">
        <f>IF(G512='Tablas AR'!$B$10,1,IF('Análisis de Riesgos'!G512='Tablas AR'!$B$11,2,IF('Análisis de Riesgos'!G512='Tablas AR'!$B$12,3,"")))</f>
        <v/>
      </c>
      <c r="I512" s="76">
        <f t="shared" si="1"/>
        <v>0</v>
      </c>
    </row>
    <row r="513" ht="14.25" customHeight="1">
      <c r="B513" s="84" t="str">
        <f t="array" ref="B513">IFERROR(INDEX(Activos!$B$3:$C$16, MATCH(C513,Activos!$B$3:$B$16),2),"")</f>
        <v/>
      </c>
      <c r="C513" s="84"/>
      <c r="D513" s="84"/>
      <c r="E513" s="76"/>
      <c r="F513" s="76" t="str">
        <f>IF(E513='Tablas AR'!$B$4,1,IF('Análisis de Riesgos'!E513='Tablas AR'!$B$5,2,IF('Análisis de Riesgos'!E513='Tablas AR'!$B$6,3,"")))</f>
        <v/>
      </c>
      <c r="G513" s="76"/>
      <c r="H513" s="76" t="str">
        <f>IF(G513='Tablas AR'!$B$10,1,IF('Análisis de Riesgos'!G513='Tablas AR'!$B$11,2,IF('Análisis de Riesgos'!G513='Tablas AR'!$B$12,3,"")))</f>
        <v/>
      </c>
      <c r="I513" s="76">
        <f t="shared" si="1"/>
        <v>0</v>
      </c>
    </row>
    <row r="514" ht="14.25" customHeight="1">
      <c r="B514" s="84" t="str">
        <f t="array" ref="B514">IFERROR(INDEX(Activos!$B$3:$C$16, MATCH(C514,Activos!$B$3:$B$16),2),"")</f>
        <v/>
      </c>
      <c r="C514" s="84"/>
      <c r="D514" s="84"/>
      <c r="E514" s="76"/>
      <c r="F514" s="76" t="str">
        <f>IF(E514='Tablas AR'!$B$4,1,IF('Análisis de Riesgos'!E514='Tablas AR'!$B$5,2,IF('Análisis de Riesgos'!E514='Tablas AR'!$B$6,3,"")))</f>
        <v/>
      </c>
      <c r="G514" s="76"/>
      <c r="H514" s="76" t="str">
        <f>IF(G514='Tablas AR'!$B$10,1,IF('Análisis de Riesgos'!G514='Tablas AR'!$B$11,2,IF('Análisis de Riesgos'!G514='Tablas AR'!$B$12,3,"")))</f>
        <v/>
      </c>
      <c r="I514" s="76">
        <f t="shared" si="1"/>
        <v>0</v>
      </c>
    </row>
    <row r="515" ht="14.25" customHeight="1">
      <c r="B515" s="84" t="str">
        <f t="array" ref="B515">IFERROR(INDEX(Activos!$B$3:$C$16, MATCH(C515,Activos!$B$3:$B$16),2),"")</f>
        <v/>
      </c>
      <c r="C515" s="84"/>
      <c r="D515" s="84"/>
      <c r="E515" s="76"/>
      <c r="F515" s="76" t="str">
        <f>IF(E515='Tablas AR'!$B$4,1,IF('Análisis de Riesgos'!E515='Tablas AR'!$B$5,2,IF('Análisis de Riesgos'!E515='Tablas AR'!$B$6,3,"")))</f>
        <v/>
      </c>
      <c r="G515" s="76"/>
      <c r="H515" s="76" t="str">
        <f>IF(G515='Tablas AR'!$B$10,1,IF('Análisis de Riesgos'!G515='Tablas AR'!$B$11,2,IF('Análisis de Riesgos'!G515='Tablas AR'!$B$12,3,"")))</f>
        <v/>
      </c>
      <c r="I515" s="76">
        <f t="shared" si="1"/>
        <v>0</v>
      </c>
    </row>
    <row r="516" ht="14.25" customHeight="1">
      <c r="B516" s="84" t="str">
        <f t="array" ref="B516">IFERROR(INDEX(Activos!$B$3:$C$16, MATCH(C516,Activos!$B$3:$B$16),2),"")</f>
        <v/>
      </c>
      <c r="C516" s="84"/>
      <c r="D516" s="84"/>
      <c r="E516" s="76"/>
      <c r="F516" s="76" t="str">
        <f>IF(E516='Tablas AR'!$B$4,1,IF('Análisis de Riesgos'!E516='Tablas AR'!$B$5,2,IF('Análisis de Riesgos'!E516='Tablas AR'!$B$6,3,"")))</f>
        <v/>
      </c>
      <c r="G516" s="76"/>
      <c r="H516" s="76" t="str">
        <f>IF(G516='Tablas AR'!$B$10,1,IF('Análisis de Riesgos'!G516='Tablas AR'!$B$11,2,IF('Análisis de Riesgos'!G516='Tablas AR'!$B$12,3,"")))</f>
        <v/>
      </c>
      <c r="I516" s="76">
        <f t="shared" si="1"/>
        <v>0</v>
      </c>
    </row>
    <row r="517" ht="14.25" customHeight="1">
      <c r="B517" s="84" t="str">
        <f t="array" ref="B517">IFERROR(INDEX(Activos!$B$3:$C$16, MATCH(C517,Activos!$B$3:$B$16),2),"")</f>
        <v/>
      </c>
      <c r="C517" s="84"/>
      <c r="D517" s="84"/>
      <c r="E517" s="76"/>
      <c r="F517" s="76" t="str">
        <f>IF(E517='Tablas AR'!$B$4,1,IF('Análisis de Riesgos'!E517='Tablas AR'!$B$5,2,IF('Análisis de Riesgos'!E517='Tablas AR'!$B$6,3,"")))</f>
        <v/>
      </c>
      <c r="G517" s="76"/>
      <c r="H517" s="76" t="str">
        <f>IF(G517='Tablas AR'!$B$10,1,IF('Análisis de Riesgos'!G517='Tablas AR'!$B$11,2,IF('Análisis de Riesgos'!G517='Tablas AR'!$B$12,3,"")))</f>
        <v/>
      </c>
      <c r="I517" s="76">
        <f t="shared" si="1"/>
        <v>0</v>
      </c>
    </row>
    <row r="518" ht="14.25" customHeight="1">
      <c r="B518" s="84" t="str">
        <f t="array" ref="B518">IFERROR(INDEX(Activos!$B$3:$C$16, MATCH(C518,Activos!$B$3:$B$16),2),"")</f>
        <v/>
      </c>
      <c r="C518" s="84"/>
      <c r="D518" s="84"/>
      <c r="E518" s="76"/>
      <c r="F518" s="76" t="str">
        <f>IF(E518='Tablas AR'!$B$4,1,IF('Análisis de Riesgos'!E518='Tablas AR'!$B$5,2,IF('Análisis de Riesgos'!E518='Tablas AR'!$B$6,3,"")))</f>
        <v/>
      </c>
      <c r="G518" s="76"/>
      <c r="H518" s="76" t="str">
        <f>IF(G518='Tablas AR'!$B$10,1,IF('Análisis de Riesgos'!G518='Tablas AR'!$B$11,2,IF('Análisis de Riesgos'!G518='Tablas AR'!$B$12,3,"")))</f>
        <v/>
      </c>
      <c r="I518" s="76">
        <f t="shared" si="1"/>
        <v>0</v>
      </c>
    </row>
    <row r="519" ht="14.25" customHeight="1">
      <c r="B519" s="84" t="str">
        <f t="array" ref="B519">IFERROR(INDEX(Activos!$B$3:$C$16, MATCH(C519,Activos!$B$3:$B$16),2),"")</f>
        <v/>
      </c>
      <c r="C519" s="84"/>
      <c r="D519" s="84"/>
      <c r="E519" s="76"/>
      <c r="F519" s="76" t="str">
        <f>IF(E519='Tablas AR'!$B$4,1,IF('Análisis de Riesgos'!E519='Tablas AR'!$B$5,2,IF('Análisis de Riesgos'!E519='Tablas AR'!$B$6,3,"")))</f>
        <v/>
      </c>
      <c r="G519" s="76"/>
      <c r="H519" s="76" t="str">
        <f>IF(G519='Tablas AR'!$B$10,1,IF('Análisis de Riesgos'!G519='Tablas AR'!$B$11,2,IF('Análisis de Riesgos'!G519='Tablas AR'!$B$12,3,"")))</f>
        <v/>
      </c>
      <c r="I519" s="76">
        <f t="shared" si="1"/>
        <v>0</v>
      </c>
    </row>
    <row r="520" ht="14.25" customHeight="1">
      <c r="B520" s="84" t="str">
        <f t="array" ref="B520">IFERROR(INDEX(Activos!$B$3:$C$16, MATCH(C520,Activos!$B$3:$B$16),2),"")</f>
        <v/>
      </c>
      <c r="C520" s="84"/>
      <c r="D520" s="84"/>
      <c r="E520" s="76"/>
      <c r="F520" s="76" t="str">
        <f>IF(E520='Tablas AR'!$B$4,1,IF('Análisis de Riesgos'!E520='Tablas AR'!$B$5,2,IF('Análisis de Riesgos'!E520='Tablas AR'!$B$6,3,"")))</f>
        <v/>
      </c>
      <c r="G520" s="76"/>
      <c r="H520" s="76" t="str">
        <f>IF(G520='Tablas AR'!$B$10,1,IF('Análisis de Riesgos'!G520='Tablas AR'!$B$11,2,IF('Análisis de Riesgos'!G520='Tablas AR'!$B$12,3,"")))</f>
        <v/>
      </c>
      <c r="I520" s="76">
        <f t="shared" si="1"/>
        <v>0</v>
      </c>
    </row>
    <row r="521" ht="14.25" customHeight="1">
      <c r="B521" s="84" t="str">
        <f t="array" ref="B521">IFERROR(INDEX(Activos!$B$3:$C$16, MATCH(C521,Activos!$B$3:$B$16),2),"")</f>
        <v/>
      </c>
      <c r="C521" s="84"/>
      <c r="D521" s="84"/>
      <c r="E521" s="76"/>
      <c r="F521" s="76" t="str">
        <f>IF(E521='Tablas AR'!$B$4,1,IF('Análisis de Riesgos'!E521='Tablas AR'!$B$5,2,IF('Análisis de Riesgos'!E521='Tablas AR'!$B$6,3,"")))</f>
        <v/>
      </c>
      <c r="G521" s="76"/>
      <c r="H521" s="76" t="str">
        <f>IF(G521='Tablas AR'!$B$10,1,IF('Análisis de Riesgos'!G521='Tablas AR'!$B$11,2,IF('Análisis de Riesgos'!G521='Tablas AR'!$B$12,3,"")))</f>
        <v/>
      </c>
      <c r="I521" s="76">
        <f t="shared" si="1"/>
        <v>0</v>
      </c>
    </row>
    <row r="522" ht="14.25" customHeight="1">
      <c r="B522" s="84" t="str">
        <f t="array" ref="B522">IFERROR(INDEX(Activos!$B$3:$C$16, MATCH(C522,Activos!$B$3:$B$16),2),"")</f>
        <v/>
      </c>
      <c r="C522" s="84"/>
      <c r="D522" s="84"/>
      <c r="E522" s="76"/>
      <c r="F522" s="76" t="str">
        <f>IF(E522='Tablas AR'!$B$4,1,IF('Análisis de Riesgos'!E522='Tablas AR'!$B$5,2,IF('Análisis de Riesgos'!E522='Tablas AR'!$B$6,3,"")))</f>
        <v/>
      </c>
      <c r="G522" s="76"/>
      <c r="H522" s="76" t="str">
        <f>IF(G522='Tablas AR'!$B$10,1,IF('Análisis de Riesgos'!G522='Tablas AR'!$B$11,2,IF('Análisis de Riesgos'!G522='Tablas AR'!$B$12,3,"")))</f>
        <v/>
      </c>
      <c r="I522" s="76">
        <f t="shared" si="1"/>
        <v>0</v>
      </c>
    </row>
    <row r="523" ht="14.25" customHeight="1">
      <c r="B523" s="84" t="str">
        <f t="array" ref="B523">IFERROR(INDEX(Activos!$B$3:$C$16, MATCH(C523,Activos!$B$3:$B$16),2),"")</f>
        <v/>
      </c>
      <c r="C523" s="84"/>
      <c r="D523" s="84"/>
      <c r="E523" s="76"/>
      <c r="F523" s="76" t="str">
        <f>IF(E523='Tablas AR'!$B$4,1,IF('Análisis de Riesgos'!E523='Tablas AR'!$B$5,2,IF('Análisis de Riesgos'!E523='Tablas AR'!$B$6,3,"")))</f>
        <v/>
      </c>
      <c r="G523" s="76"/>
      <c r="H523" s="76" t="str">
        <f>IF(G523='Tablas AR'!$B$10,1,IF('Análisis de Riesgos'!G523='Tablas AR'!$B$11,2,IF('Análisis de Riesgos'!G523='Tablas AR'!$B$12,3,"")))</f>
        <v/>
      </c>
      <c r="I523" s="76">
        <f t="shared" si="1"/>
        <v>0</v>
      </c>
    </row>
    <row r="524" ht="14.25" customHeight="1">
      <c r="B524" s="84" t="str">
        <f t="array" ref="B524">IFERROR(INDEX(Activos!$B$3:$C$16, MATCH(C524,Activos!$B$3:$B$16),2),"")</f>
        <v/>
      </c>
      <c r="C524" s="84"/>
      <c r="D524" s="84"/>
      <c r="E524" s="76"/>
      <c r="F524" s="76" t="str">
        <f>IF(E524='Tablas AR'!$B$4,1,IF('Análisis de Riesgos'!E524='Tablas AR'!$B$5,2,IF('Análisis de Riesgos'!E524='Tablas AR'!$B$6,3,"")))</f>
        <v/>
      </c>
      <c r="G524" s="76"/>
      <c r="H524" s="76" t="str">
        <f>IF(G524='Tablas AR'!$B$10,1,IF('Análisis de Riesgos'!G524='Tablas AR'!$B$11,2,IF('Análisis de Riesgos'!G524='Tablas AR'!$B$12,3,"")))</f>
        <v/>
      </c>
      <c r="I524" s="76">
        <f t="shared" si="1"/>
        <v>0</v>
      </c>
    </row>
    <row r="525" ht="14.25" customHeight="1">
      <c r="B525" s="84" t="str">
        <f t="array" ref="B525">IFERROR(INDEX(Activos!$B$3:$C$16, MATCH(C525,Activos!$B$3:$B$16),2),"")</f>
        <v/>
      </c>
      <c r="C525" s="84"/>
      <c r="D525" s="84"/>
      <c r="E525" s="76"/>
      <c r="F525" s="76" t="str">
        <f>IF(E525='Tablas AR'!$B$4,1,IF('Análisis de Riesgos'!E525='Tablas AR'!$B$5,2,IF('Análisis de Riesgos'!E525='Tablas AR'!$B$6,3,"")))</f>
        <v/>
      </c>
      <c r="G525" s="76"/>
      <c r="H525" s="76" t="str">
        <f>IF(G525='Tablas AR'!$B$10,1,IF('Análisis de Riesgos'!G525='Tablas AR'!$B$11,2,IF('Análisis de Riesgos'!G525='Tablas AR'!$B$12,3,"")))</f>
        <v/>
      </c>
      <c r="I525" s="76">
        <f t="shared" si="1"/>
        <v>0</v>
      </c>
    </row>
    <row r="526" ht="14.25" customHeight="1">
      <c r="B526" s="84" t="str">
        <f t="array" ref="B526">IFERROR(INDEX(Activos!$B$3:$C$16, MATCH(C526,Activos!$B$3:$B$16),2),"")</f>
        <v/>
      </c>
      <c r="C526" s="84"/>
      <c r="D526" s="84"/>
      <c r="E526" s="76"/>
      <c r="F526" s="76" t="str">
        <f>IF(E526='Tablas AR'!$B$4,1,IF('Análisis de Riesgos'!E526='Tablas AR'!$B$5,2,IF('Análisis de Riesgos'!E526='Tablas AR'!$B$6,3,"")))</f>
        <v/>
      </c>
      <c r="G526" s="76"/>
      <c r="H526" s="76" t="str">
        <f>IF(G526='Tablas AR'!$B$10,1,IF('Análisis de Riesgos'!G526='Tablas AR'!$B$11,2,IF('Análisis de Riesgos'!G526='Tablas AR'!$B$12,3,"")))</f>
        <v/>
      </c>
      <c r="I526" s="76">
        <f t="shared" si="1"/>
        <v>0</v>
      </c>
    </row>
    <row r="527" ht="14.25" customHeight="1">
      <c r="B527" s="84" t="str">
        <f t="array" ref="B527">IFERROR(INDEX(Activos!$B$3:$C$16, MATCH(C527,Activos!$B$3:$B$16),2),"")</f>
        <v/>
      </c>
      <c r="C527" s="84"/>
      <c r="D527" s="84"/>
      <c r="E527" s="76"/>
      <c r="F527" s="76" t="str">
        <f>IF(E527='Tablas AR'!$B$4,1,IF('Análisis de Riesgos'!E527='Tablas AR'!$B$5,2,IF('Análisis de Riesgos'!E527='Tablas AR'!$B$6,3,"")))</f>
        <v/>
      </c>
      <c r="G527" s="76"/>
      <c r="H527" s="76" t="str">
        <f>IF(G527='Tablas AR'!$B$10,1,IF('Análisis de Riesgos'!G527='Tablas AR'!$B$11,2,IF('Análisis de Riesgos'!G527='Tablas AR'!$B$12,3,"")))</f>
        <v/>
      </c>
      <c r="I527" s="76">
        <f t="shared" si="1"/>
        <v>0</v>
      </c>
    </row>
    <row r="528" ht="14.25" customHeight="1">
      <c r="B528" s="84" t="str">
        <f t="array" ref="B528">IFERROR(INDEX(Activos!$B$3:$C$16, MATCH(C528,Activos!$B$3:$B$16),2),"")</f>
        <v/>
      </c>
      <c r="C528" s="84"/>
      <c r="D528" s="84"/>
      <c r="E528" s="76"/>
      <c r="F528" s="76" t="str">
        <f>IF(E528='Tablas AR'!$B$4,1,IF('Análisis de Riesgos'!E528='Tablas AR'!$B$5,2,IF('Análisis de Riesgos'!E528='Tablas AR'!$B$6,3,"")))</f>
        <v/>
      </c>
      <c r="G528" s="76"/>
      <c r="H528" s="76" t="str">
        <f>IF(G528='Tablas AR'!$B$10,1,IF('Análisis de Riesgos'!G528='Tablas AR'!$B$11,2,IF('Análisis de Riesgos'!G528='Tablas AR'!$B$12,3,"")))</f>
        <v/>
      </c>
      <c r="I528" s="76">
        <f t="shared" si="1"/>
        <v>0</v>
      </c>
    </row>
    <row r="529" ht="14.25" customHeight="1">
      <c r="B529" s="84" t="str">
        <f t="array" ref="B529">IFERROR(INDEX(Activos!$B$3:$C$16, MATCH(C529,Activos!$B$3:$B$16),2),"")</f>
        <v/>
      </c>
      <c r="C529" s="84"/>
      <c r="D529" s="84"/>
      <c r="E529" s="76"/>
      <c r="F529" s="76" t="str">
        <f>IF(E529='Tablas AR'!$B$4,1,IF('Análisis de Riesgos'!E529='Tablas AR'!$B$5,2,IF('Análisis de Riesgos'!E529='Tablas AR'!$B$6,3,"")))</f>
        <v/>
      </c>
      <c r="G529" s="76"/>
      <c r="H529" s="76" t="str">
        <f>IF(G529='Tablas AR'!$B$10,1,IF('Análisis de Riesgos'!G529='Tablas AR'!$B$11,2,IF('Análisis de Riesgos'!G529='Tablas AR'!$B$12,3,"")))</f>
        <v/>
      </c>
      <c r="I529" s="76">
        <f t="shared" si="1"/>
        <v>0</v>
      </c>
    </row>
    <row r="530" ht="14.25" customHeight="1">
      <c r="B530" s="84" t="str">
        <f t="array" ref="B530">IFERROR(INDEX(Activos!$B$3:$C$16, MATCH(C530,Activos!$B$3:$B$16),2),"")</f>
        <v/>
      </c>
      <c r="C530" s="84"/>
      <c r="D530" s="84"/>
      <c r="E530" s="76"/>
      <c r="F530" s="76" t="str">
        <f>IF(E530='Tablas AR'!$B$4,1,IF('Análisis de Riesgos'!E530='Tablas AR'!$B$5,2,IF('Análisis de Riesgos'!E530='Tablas AR'!$B$6,3,"")))</f>
        <v/>
      </c>
      <c r="G530" s="76"/>
      <c r="H530" s="76" t="str">
        <f>IF(G530='Tablas AR'!$B$10,1,IF('Análisis de Riesgos'!G530='Tablas AR'!$B$11,2,IF('Análisis de Riesgos'!G530='Tablas AR'!$B$12,3,"")))</f>
        <v/>
      </c>
      <c r="I530" s="76">
        <f t="shared" si="1"/>
        <v>0</v>
      </c>
    </row>
    <row r="531" ht="14.25" customHeight="1">
      <c r="B531" s="84" t="str">
        <f t="array" ref="B531">IFERROR(INDEX(Activos!$B$3:$C$16, MATCH(C531,Activos!$B$3:$B$16),2),"")</f>
        <v/>
      </c>
      <c r="C531" s="84"/>
      <c r="D531" s="84"/>
      <c r="E531" s="76"/>
      <c r="F531" s="76" t="str">
        <f>IF(E531='Tablas AR'!$B$4,1,IF('Análisis de Riesgos'!E531='Tablas AR'!$B$5,2,IF('Análisis de Riesgos'!E531='Tablas AR'!$B$6,3,"")))</f>
        <v/>
      </c>
      <c r="G531" s="76"/>
      <c r="H531" s="76" t="str">
        <f>IF(G531='Tablas AR'!$B$10,1,IF('Análisis de Riesgos'!G531='Tablas AR'!$B$11,2,IF('Análisis de Riesgos'!G531='Tablas AR'!$B$12,3,"")))</f>
        <v/>
      </c>
      <c r="I531" s="76">
        <f t="shared" si="1"/>
        <v>0</v>
      </c>
    </row>
    <row r="532" ht="14.25" customHeight="1">
      <c r="B532" s="84" t="str">
        <f t="array" ref="B532">IFERROR(INDEX(Activos!$B$3:$C$16, MATCH(C532,Activos!$B$3:$B$16),2),"")</f>
        <v/>
      </c>
      <c r="C532" s="84"/>
      <c r="D532" s="84"/>
      <c r="E532" s="76"/>
      <c r="F532" s="76" t="str">
        <f>IF(E532='Tablas AR'!$B$4,1,IF('Análisis de Riesgos'!E532='Tablas AR'!$B$5,2,IF('Análisis de Riesgos'!E532='Tablas AR'!$B$6,3,"")))</f>
        <v/>
      </c>
      <c r="G532" s="76"/>
      <c r="H532" s="76" t="str">
        <f>IF(G532='Tablas AR'!$B$10,1,IF('Análisis de Riesgos'!G532='Tablas AR'!$B$11,2,IF('Análisis de Riesgos'!G532='Tablas AR'!$B$12,3,"")))</f>
        <v/>
      </c>
      <c r="I532" s="76">
        <f t="shared" si="1"/>
        <v>0</v>
      </c>
    </row>
    <row r="533" ht="14.25" customHeight="1">
      <c r="B533" s="84" t="str">
        <f t="array" ref="B533">IFERROR(INDEX(Activos!$B$3:$C$16, MATCH(C533,Activos!$B$3:$B$16),2),"")</f>
        <v/>
      </c>
      <c r="C533" s="84"/>
      <c r="D533" s="84"/>
      <c r="E533" s="76"/>
      <c r="F533" s="76" t="str">
        <f>IF(E533='Tablas AR'!$B$4,1,IF('Análisis de Riesgos'!E533='Tablas AR'!$B$5,2,IF('Análisis de Riesgos'!E533='Tablas AR'!$B$6,3,"")))</f>
        <v/>
      </c>
      <c r="G533" s="76"/>
      <c r="H533" s="76" t="str">
        <f>IF(G533='Tablas AR'!$B$10,1,IF('Análisis de Riesgos'!G533='Tablas AR'!$B$11,2,IF('Análisis de Riesgos'!G533='Tablas AR'!$B$12,3,"")))</f>
        <v/>
      </c>
      <c r="I533" s="76">
        <f t="shared" si="1"/>
        <v>0</v>
      </c>
    </row>
    <row r="534" ht="14.25" customHeight="1">
      <c r="B534" s="84" t="str">
        <f t="array" ref="B534">IFERROR(INDEX(Activos!$B$3:$C$16, MATCH(C534,Activos!$B$3:$B$16),2),"")</f>
        <v/>
      </c>
      <c r="C534" s="84"/>
      <c r="D534" s="84"/>
      <c r="E534" s="76"/>
      <c r="F534" s="76" t="str">
        <f>IF(E534='Tablas AR'!$B$4,1,IF('Análisis de Riesgos'!E534='Tablas AR'!$B$5,2,IF('Análisis de Riesgos'!E534='Tablas AR'!$B$6,3,"")))</f>
        <v/>
      </c>
      <c r="G534" s="76"/>
      <c r="H534" s="76" t="str">
        <f>IF(G534='Tablas AR'!$B$10,1,IF('Análisis de Riesgos'!G534='Tablas AR'!$B$11,2,IF('Análisis de Riesgos'!G534='Tablas AR'!$B$12,3,"")))</f>
        <v/>
      </c>
      <c r="I534" s="76">
        <f t="shared" si="1"/>
        <v>0</v>
      </c>
    </row>
    <row r="535" ht="14.25" customHeight="1">
      <c r="B535" s="84" t="str">
        <f t="array" ref="B535">IFERROR(INDEX(Activos!$B$3:$C$16, MATCH(C535,Activos!$B$3:$B$16),2),"")</f>
        <v/>
      </c>
      <c r="C535" s="84"/>
      <c r="D535" s="84"/>
      <c r="E535" s="76"/>
      <c r="F535" s="76" t="str">
        <f>IF(E535='Tablas AR'!$B$4,1,IF('Análisis de Riesgos'!E535='Tablas AR'!$B$5,2,IF('Análisis de Riesgos'!E535='Tablas AR'!$B$6,3,"")))</f>
        <v/>
      </c>
      <c r="G535" s="76"/>
      <c r="H535" s="76" t="str">
        <f>IF(G535='Tablas AR'!$B$10,1,IF('Análisis de Riesgos'!G535='Tablas AR'!$B$11,2,IF('Análisis de Riesgos'!G535='Tablas AR'!$B$12,3,"")))</f>
        <v/>
      </c>
      <c r="I535" s="76">
        <f t="shared" si="1"/>
        <v>0</v>
      </c>
    </row>
    <row r="536" ht="14.25" customHeight="1">
      <c r="B536" s="84" t="str">
        <f t="array" ref="B536">IFERROR(INDEX(Activos!$B$3:$C$16, MATCH(C536,Activos!$B$3:$B$16),2),"")</f>
        <v/>
      </c>
      <c r="C536" s="84"/>
      <c r="D536" s="84"/>
      <c r="E536" s="76"/>
      <c r="F536" s="76" t="str">
        <f>IF(E536='Tablas AR'!$B$4,1,IF('Análisis de Riesgos'!E536='Tablas AR'!$B$5,2,IF('Análisis de Riesgos'!E536='Tablas AR'!$B$6,3,"")))</f>
        <v/>
      </c>
      <c r="G536" s="76"/>
      <c r="H536" s="76" t="str">
        <f>IF(G536='Tablas AR'!$B$10,1,IF('Análisis de Riesgos'!G536='Tablas AR'!$B$11,2,IF('Análisis de Riesgos'!G536='Tablas AR'!$B$12,3,"")))</f>
        <v/>
      </c>
      <c r="I536" s="76">
        <f t="shared" si="1"/>
        <v>0</v>
      </c>
    </row>
    <row r="537" ht="14.25" customHeight="1">
      <c r="B537" s="84" t="str">
        <f t="array" ref="B537">IFERROR(INDEX(Activos!$B$3:$C$16, MATCH(C537,Activos!$B$3:$B$16),2),"")</f>
        <v/>
      </c>
      <c r="C537" s="84"/>
      <c r="D537" s="84"/>
      <c r="E537" s="76"/>
      <c r="F537" s="76" t="str">
        <f>IF(E537='Tablas AR'!$B$4,1,IF('Análisis de Riesgos'!E537='Tablas AR'!$B$5,2,IF('Análisis de Riesgos'!E537='Tablas AR'!$B$6,3,"")))</f>
        <v/>
      </c>
      <c r="G537" s="76"/>
      <c r="H537" s="76" t="str">
        <f>IF(G537='Tablas AR'!$B$10,1,IF('Análisis de Riesgos'!G537='Tablas AR'!$B$11,2,IF('Análisis de Riesgos'!G537='Tablas AR'!$B$12,3,"")))</f>
        <v/>
      </c>
      <c r="I537" s="76">
        <f t="shared" si="1"/>
        <v>0</v>
      </c>
    </row>
    <row r="538" ht="14.25" customHeight="1">
      <c r="B538" s="84" t="str">
        <f t="array" ref="B538">IFERROR(INDEX(Activos!$B$3:$C$16, MATCH(C538,Activos!$B$3:$B$16),2),"")</f>
        <v/>
      </c>
      <c r="C538" s="84"/>
      <c r="D538" s="84"/>
      <c r="E538" s="76"/>
      <c r="F538" s="76" t="str">
        <f>IF(E538='Tablas AR'!$B$4,1,IF('Análisis de Riesgos'!E538='Tablas AR'!$B$5,2,IF('Análisis de Riesgos'!E538='Tablas AR'!$B$6,3,"")))</f>
        <v/>
      </c>
      <c r="G538" s="76"/>
      <c r="H538" s="76" t="str">
        <f>IF(G538='Tablas AR'!$B$10,1,IF('Análisis de Riesgos'!G538='Tablas AR'!$B$11,2,IF('Análisis de Riesgos'!G538='Tablas AR'!$B$12,3,"")))</f>
        <v/>
      </c>
      <c r="I538" s="76">
        <f t="shared" si="1"/>
        <v>0</v>
      </c>
    </row>
    <row r="539" ht="14.25" customHeight="1">
      <c r="B539" s="84" t="str">
        <f t="array" ref="B539">IFERROR(INDEX(Activos!$B$3:$C$16, MATCH(C539,Activos!$B$3:$B$16),2),"")</f>
        <v/>
      </c>
      <c r="C539" s="84"/>
      <c r="D539" s="84"/>
      <c r="E539" s="76"/>
      <c r="F539" s="76" t="str">
        <f>IF(E539='Tablas AR'!$B$4,1,IF('Análisis de Riesgos'!E539='Tablas AR'!$B$5,2,IF('Análisis de Riesgos'!E539='Tablas AR'!$B$6,3,"")))</f>
        <v/>
      </c>
      <c r="G539" s="76"/>
      <c r="H539" s="76" t="str">
        <f>IF(G539='Tablas AR'!$B$10,1,IF('Análisis de Riesgos'!G539='Tablas AR'!$B$11,2,IF('Análisis de Riesgos'!G539='Tablas AR'!$B$12,3,"")))</f>
        <v/>
      </c>
      <c r="I539" s="76">
        <f t="shared" si="1"/>
        <v>0</v>
      </c>
    </row>
    <row r="540" ht="14.25" customHeight="1">
      <c r="B540" s="84" t="str">
        <f t="array" ref="B540">IFERROR(INDEX(Activos!$B$3:$C$16, MATCH(C540,Activos!$B$3:$B$16),2),"")</f>
        <v/>
      </c>
      <c r="C540" s="84"/>
      <c r="D540" s="84"/>
      <c r="E540" s="76"/>
      <c r="F540" s="76" t="str">
        <f>IF(E540='Tablas AR'!$B$4,1,IF('Análisis de Riesgos'!E540='Tablas AR'!$B$5,2,IF('Análisis de Riesgos'!E540='Tablas AR'!$B$6,3,"")))</f>
        <v/>
      </c>
      <c r="G540" s="76"/>
      <c r="H540" s="76" t="str">
        <f>IF(G540='Tablas AR'!$B$10,1,IF('Análisis de Riesgos'!G540='Tablas AR'!$B$11,2,IF('Análisis de Riesgos'!G540='Tablas AR'!$B$12,3,"")))</f>
        <v/>
      </c>
      <c r="I540" s="76">
        <f t="shared" si="1"/>
        <v>0</v>
      </c>
    </row>
    <row r="541" ht="14.25" customHeight="1">
      <c r="B541" s="84" t="str">
        <f t="array" ref="B541">IFERROR(INDEX(Activos!$B$3:$C$16, MATCH(C541,Activos!$B$3:$B$16),2),"")</f>
        <v/>
      </c>
      <c r="C541" s="84"/>
      <c r="D541" s="84"/>
      <c r="E541" s="76"/>
      <c r="F541" s="76" t="str">
        <f>IF(E541='Tablas AR'!$B$4,1,IF('Análisis de Riesgos'!E541='Tablas AR'!$B$5,2,IF('Análisis de Riesgos'!E541='Tablas AR'!$B$6,3,"")))</f>
        <v/>
      </c>
      <c r="G541" s="76"/>
      <c r="H541" s="76" t="str">
        <f>IF(G541='Tablas AR'!$B$10,1,IF('Análisis de Riesgos'!G541='Tablas AR'!$B$11,2,IF('Análisis de Riesgos'!G541='Tablas AR'!$B$12,3,"")))</f>
        <v/>
      </c>
      <c r="I541" s="76">
        <f t="shared" si="1"/>
        <v>0</v>
      </c>
    </row>
    <row r="542" ht="14.25" customHeight="1">
      <c r="B542" s="84" t="str">
        <f t="array" ref="B542">IFERROR(INDEX(Activos!$B$3:$C$16, MATCH(C542,Activos!$B$3:$B$16),2),"")</f>
        <v/>
      </c>
      <c r="C542" s="84"/>
      <c r="D542" s="84"/>
      <c r="E542" s="76"/>
      <c r="F542" s="76" t="str">
        <f>IF(E542='Tablas AR'!$B$4,1,IF('Análisis de Riesgos'!E542='Tablas AR'!$B$5,2,IF('Análisis de Riesgos'!E542='Tablas AR'!$B$6,3,"")))</f>
        <v/>
      </c>
      <c r="G542" s="76"/>
      <c r="H542" s="76" t="str">
        <f>IF(G542='Tablas AR'!$B$10,1,IF('Análisis de Riesgos'!G542='Tablas AR'!$B$11,2,IF('Análisis de Riesgos'!G542='Tablas AR'!$B$12,3,"")))</f>
        <v/>
      </c>
      <c r="I542" s="76">
        <f t="shared" si="1"/>
        <v>0</v>
      </c>
    </row>
    <row r="543" ht="14.25" customHeight="1">
      <c r="B543" s="84" t="str">
        <f t="array" ref="B543">IFERROR(INDEX(Activos!$B$3:$C$16, MATCH(C543,Activos!$B$3:$B$16),2),"")</f>
        <v/>
      </c>
      <c r="C543" s="84"/>
      <c r="D543" s="84"/>
      <c r="E543" s="76"/>
      <c r="F543" s="76" t="str">
        <f>IF(E543='Tablas AR'!$B$4,1,IF('Análisis de Riesgos'!E543='Tablas AR'!$B$5,2,IF('Análisis de Riesgos'!E543='Tablas AR'!$B$6,3,"")))</f>
        <v/>
      </c>
      <c r="G543" s="76"/>
      <c r="H543" s="76" t="str">
        <f>IF(G543='Tablas AR'!$B$10,1,IF('Análisis de Riesgos'!G543='Tablas AR'!$B$11,2,IF('Análisis de Riesgos'!G543='Tablas AR'!$B$12,3,"")))</f>
        <v/>
      </c>
      <c r="I543" s="76">
        <f t="shared" si="1"/>
        <v>0</v>
      </c>
    </row>
    <row r="544" ht="14.25" customHeight="1">
      <c r="B544" s="84" t="str">
        <f t="array" ref="B544">IFERROR(INDEX(Activos!$B$3:$C$16, MATCH(C544,Activos!$B$3:$B$16),2),"")</f>
        <v/>
      </c>
      <c r="C544" s="84"/>
      <c r="D544" s="84"/>
      <c r="E544" s="76"/>
      <c r="F544" s="76" t="str">
        <f>IF(E544='Tablas AR'!$B$4,1,IF('Análisis de Riesgos'!E544='Tablas AR'!$B$5,2,IF('Análisis de Riesgos'!E544='Tablas AR'!$B$6,3,"")))</f>
        <v/>
      </c>
      <c r="G544" s="76"/>
      <c r="H544" s="76" t="str">
        <f>IF(G544='Tablas AR'!$B$10,1,IF('Análisis de Riesgos'!G544='Tablas AR'!$B$11,2,IF('Análisis de Riesgos'!G544='Tablas AR'!$B$12,3,"")))</f>
        <v/>
      </c>
      <c r="I544" s="76">
        <f t="shared" si="1"/>
        <v>0</v>
      </c>
    </row>
    <row r="545" ht="14.25" customHeight="1">
      <c r="B545" s="84" t="str">
        <f t="array" ref="B545">IFERROR(INDEX(Activos!$B$3:$C$16, MATCH(C545,Activos!$B$3:$B$16),2),"")</f>
        <v/>
      </c>
      <c r="C545" s="84"/>
      <c r="D545" s="84"/>
      <c r="E545" s="76"/>
      <c r="F545" s="76" t="str">
        <f>IF(E545='Tablas AR'!$B$4,1,IF('Análisis de Riesgos'!E545='Tablas AR'!$B$5,2,IF('Análisis de Riesgos'!E545='Tablas AR'!$B$6,3,"")))</f>
        <v/>
      </c>
      <c r="G545" s="76"/>
      <c r="H545" s="76" t="str">
        <f>IF(G545='Tablas AR'!$B$10,1,IF('Análisis de Riesgos'!G545='Tablas AR'!$B$11,2,IF('Análisis de Riesgos'!G545='Tablas AR'!$B$12,3,"")))</f>
        <v/>
      </c>
      <c r="I545" s="76">
        <f t="shared" si="1"/>
        <v>0</v>
      </c>
    </row>
    <row r="546" ht="14.25" customHeight="1">
      <c r="B546" s="84" t="str">
        <f t="array" ref="B546">IFERROR(INDEX(Activos!$B$3:$C$16, MATCH(C546,Activos!$B$3:$B$16),2),"")</f>
        <v/>
      </c>
      <c r="C546" s="84"/>
      <c r="D546" s="84"/>
      <c r="E546" s="76"/>
      <c r="F546" s="76" t="str">
        <f>IF(E546='Tablas AR'!$B$4,1,IF('Análisis de Riesgos'!E546='Tablas AR'!$B$5,2,IF('Análisis de Riesgos'!E546='Tablas AR'!$B$6,3,"")))</f>
        <v/>
      </c>
      <c r="G546" s="76"/>
      <c r="H546" s="76" t="str">
        <f>IF(G546='Tablas AR'!$B$10,1,IF('Análisis de Riesgos'!G546='Tablas AR'!$B$11,2,IF('Análisis de Riesgos'!G546='Tablas AR'!$B$12,3,"")))</f>
        <v/>
      </c>
      <c r="I546" s="76">
        <f t="shared" si="1"/>
        <v>0</v>
      </c>
    </row>
    <row r="547" ht="14.25" customHeight="1">
      <c r="B547" s="84" t="str">
        <f t="array" ref="B547">IFERROR(INDEX(Activos!$B$3:$C$16, MATCH(C547,Activos!$B$3:$B$16),2),"")</f>
        <v/>
      </c>
      <c r="C547" s="84"/>
      <c r="D547" s="84"/>
      <c r="E547" s="76"/>
      <c r="F547" s="76" t="str">
        <f>IF(E547='Tablas AR'!$B$4,1,IF('Análisis de Riesgos'!E547='Tablas AR'!$B$5,2,IF('Análisis de Riesgos'!E547='Tablas AR'!$B$6,3,"")))</f>
        <v/>
      </c>
      <c r="G547" s="76"/>
      <c r="H547" s="76" t="str">
        <f>IF(G547='Tablas AR'!$B$10,1,IF('Análisis de Riesgos'!G547='Tablas AR'!$B$11,2,IF('Análisis de Riesgos'!G547='Tablas AR'!$B$12,3,"")))</f>
        <v/>
      </c>
      <c r="I547" s="76">
        <f t="shared" si="1"/>
        <v>0</v>
      </c>
    </row>
    <row r="548" ht="14.25" customHeight="1">
      <c r="B548" s="84" t="str">
        <f t="array" ref="B548">IFERROR(INDEX(Activos!$B$3:$C$16, MATCH(C548,Activos!$B$3:$B$16),2),"")</f>
        <v/>
      </c>
      <c r="C548" s="84"/>
      <c r="D548" s="84"/>
      <c r="E548" s="76"/>
      <c r="F548" s="76" t="str">
        <f>IF(E548='Tablas AR'!$B$4,1,IF('Análisis de Riesgos'!E548='Tablas AR'!$B$5,2,IF('Análisis de Riesgos'!E548='Tablas AR'!$B$6,3,"")))</f>
        <v/>
      </c>
      <c r="G548" s="76"/>
      <c r="H548" s="76" t="str">
        <f>IF(G548='Tablas AR'!$B$10,1,IF('Análisis de Riesgos'!G548='Tablas AR'!$B$11,2,IF('Análisis de Riesgos'!G548='Tablas AR'!$B$12,3,"")))</f>
        <v/>
      </c>
      <c r="I548" s="76">
        <f t="shared" si="1"/>
        <v>0</v>
      </c>
    </row>
    <row r="549" ht="14.25" customHeight="1">
      <c r="B549" s="84" t="str">
        <f t="array" ref="B549">IFERROR(INDEX(Activos!$B$3:$C$16, MATCH(C549,Activos!$B$3:$B$16),2),"")</f>
        <v/>
      </c>
      <c r="C549" s="84"/>
      <c r="D549" s="84"/>
      <c r="E549" s="76"/>
      <c r="F549" s="76" t="str">
        <f>IF(E549='Tablas AR'!$B$4,1,IF('Análisis de Riesgos'!E549='Tablas AR'!$B$5,2,IF('Análisis de Riesgos'!E549='Tablas AR'!$B$6,3,"")))</f>
        <v/>
      </c>
      <c r="G549" s="76"/>
      <c r="H549" s="76" t="str">
        <f>IF(G549='Tablas AR'!$B$10,1,IF('Análisis de Riesgos'!G549='Tablas AR'!$B$11,2,IF('Análisis de Riesgos'!G549='Tablas AR'!$B$12,3,"")))</f>
        <v/>
      </c>
      <c r="I549" s="76">
        <f t="shared" si="1"/>
        <v>0</v>
      </c>
    </row>
    <row r="550" ht="14.25" customHeight="1">
      <c r="B550" s="84" t="str">
        <f t="array" ref="B550">IFERROR(INDEX(Activos!$B$3:$C$16, MATCH(C550,Activos!$B$3:$B$16),2),"")</f>
        <v/>
      </c>
      <c r="C550" s="84"/>
      <c r="D550" s="84"/>
      <c r="E550" s="76"/>
      <c r="F550" s="76" t="str">
        <f>IF(E550='Tablas AR'!$B$4,1,IF('Análisis de Riesgos'!E550='Tablas AR'!$B$5,2,IF('Análisis de Riesgos'!E550='Tablas AR'!$B$6,3,"")))</f>
        <v/>
      </c>
      <c r="G550" s="76"/>
      <c r="H550" s="76" t="str">
        <f>IF(G550='Tablas AR'!$B$10,1,IF('Análisis de Riesgos'!G550='Tablas AR'!$B$11,2,IF('Análisis de Riesgos'!G550='Tablas AR'!$B$12,3,"")))</f>
        <v/>
      </c>
      <c r="I550" s="76">
        <f t="shared" si="1"/>
        <v>0</v>
      </c>
    </row>
    <row r="551" ht="14.25" customHeight="1">
      <c r="B551" s="84" t="str">
        <f t="array" ref="B551">IFERROR(INDEX(Activos!$B$3:$C$16, MATCH(C551,Activos!$B$3:$B$16),2),"")</f>
        <v/>
      </c>
      <c r="C551" s="84"/>
      <c r="D551" s="84"/>
      <c r="E551" s="76"/>
      <c r="F551" s="76" t="str">
        <f>IF(E551='Tablas AR'!$B$4,1,IF('Análisis de Riesgos'!E551='Tablas AR'!$B$5,2,IF('Análisis de Riesgos'!E551='Tablas AR'!$B$6,3,"")))</f>
        <v/>
      </c>
      <c r="G551" s="76"/>
      <c r="H551" s="76" t="str">
        <f>IF(G551='Tablas AR'!$B$10,1,IF('Análisis de Riesgos'!G551='Tablas AR'!$B$11,2,IF('Análisis de Riesgos'!G551='Tablas AR'!$B$12,3,"")))</f>
        <v/>
      </c>
      <c r="I551" s="76">
        <f t="shared" si="1"/>
        <v>0</v>
      </c>
    </row>
    <row r="552" ht="14.25" customHeight="1">
      <c r="B552" s="84" t="str">
        <f t="array" ref="B552">IFERROR(INDEX(Activos!$B$3:$C$16, MATCH(C552,Activos!$B$3:$B$16),2),"")</f>
        <v/>
      </c>
      <c r="C552" s="84"/>
      <c r="D552" s="84"/>
      <c r="E552" s="76"/>
      <c r="F552" s="76" t="str">
        <f>IF(E552='Tablas AR'!$B$4,1,IF('Análisis de Riesgos'!E552='Tablas AR'!$B$5,2,IF('Análisis de Riesgos'!E552='Tablas AR'!$B$6,3,"")))</f>
        <v/>
      </c>
      <c r="G552" s="76"/>
      <c r="H552" s="76" t="str">
        <f>IF(G552='Tablas AR'!$B$10,1,IF('Análisis de Riesgos'!G552='Tablas AR'!$B$11,2,IF('Análisis de Riesgos'!G552='Tablas AR'!$B$12,3,"")))</f>
        <v/>
      </c>
      <c r="I552" s="76">
        <f t="shared" si="1"/>
        <v>0</v>
      </c>
    </row>
    <row r="553" ht="14.25" customHeight="1">
      <c r="B553" s="84" t="str">
        <f t="array" ref="B553">IFERROR(INDEX(Activos!$B$3:$C$16, MATCH(C553,Activos!$B$3:$B$16),2),"")</f>
        <v/>
      </c>
      <c r="C553" s="84"/>
      <c r="D553" s="84"/>
      <c r="E553" s="76"/>
      <c r="F553" s="76" t="str">
        <f>IF(E553='Tablas AR'!$B$4,1,IF('Análisis de Riesgos'!E553='Tablas AR'!$B$5,2,IF('Análisis de Riesgos'!E553='Tablas AR'!$B$6,3,"")))</f>
        <v/>
      </c>
      <c r="G553" s="76"/>
      <c r="H553" s="76" t="str">
        <f>IF(G553='Tablas AR'!$B$10,1,IF('Análisis de Riesgos'!G553='Tablas AR'!$B$11,2,IF('Análisis de Riesgos'!G553='Tablas AR'!$B$12,3,"")))</f>
        <v/>
      </c>
      <c r="I553" s="76">
        <f t="shared" si="1"/>
        <v>0</v>
      </c>
    </row>
    <row r="554" ht="14.25" customHeight="1">
      <c r="B554" s="84" t="str">
        <f t="array" ref="B554">IFERROR(INDEX(Activos!$B$3:$C$16, MATCH(C554,Activos!$B$3:$B$16),2),"")</f>
        <v/>
      </c>
      <c r="C554" s="84"/>
      <c r="D554" s="84"/>
      <c r="E554" s="76"/>
      <c r="F554" s="76" t="str">
        <f>IF(E554='Tablas AR'!$B$4,1,IF('Análisis de Riesgos'!E554='Tablas AR'!$B$5,2,IF('Análisis de Riesgos'!E554='Tablas AR'!$B$6,3,"")))</f>
        <v/>
      </c>
      <c r="G554" s="76"/>
      <c r="H554" s="76" t="str">
        <f>IF(G554='Tablas AR'!$B$10,1,IF('Análisis de Riesgos'!G554='Tablas AR'!$B$11,2,IF('Análisis de Riesgos'!G554='Tablas AR'!$B$12,3,"")))</f>
        <v/>
      </c>
      <c r="I554" s="76">
        <f t="shared" si="1"/>
        <v>0</v>
      </c>
    </row>
    <row r="555" ht="14.25" customHeight="1">
      <c r="B555" s="84" t="str">
        <f t="array" ref="B555">IFERROR(INDEX(Activos!$B$3:$C$16, MATCH(C555,Activos!$B$3:$B$16),2),"")</f>
        <v/>
      </c>
      <c r="C555" s="84"/>
      <c r="D555" s="84"/>
      <c r="E555" s="76"/>
      <c r="F555" s="76" t="str">
        <f>IF(E555='Tablas AR'!$B$4,1,IF('Análisis de Riesgos'!E555='Tablas AR'!$B$5,2,IF('Análisis de Riesgos'!E555='Tablas AR'!$B$6,3,"")))</f>
        <v/>
      </c>
      <c r="G555" s="76"/>
      <c r="H555" s="76" t="str">
        <f>IF(G555='Tablas AR'!$B$10,1,IF('Análisis de Riesgos'!G555='Tablas AR'!$B$11,2,IF('Análisis de Riesgos'!G555='Tablas AR'!$B$12,3,"")))</f>
        <v/>
      </c>
      <c r="I555" s="76">
        <f t="shared" si="1"/>
        <v>0</v>
      </c>
    </row>
    <row r="556" ht="14.25" customHeight="1">
      <c r="B556" s="84" t="str">
        <f t="array" ref="B556">IFERROR(INDEX(Activos!$B$3:$C$16, MATCH(C556,Activos!$B$3:$B$16),2),"")</f>
        <v/>
      </c>
      <c r="C556" s="84"/>
      <c r="D556" s="84"/>
      <c r="E556" s="76"/>
      <c r="F556" s="76" t="str">
        <f>IF(E556='Tablas AR'!$B$4,1,IF('Análisis de Riesgos'!E556='Tablas AR'!$B$5,2,IF('Análisis de Riesgos'!E556='Tablas AR'!$B$6,3,"")))</f>
        <v/>
      </c>
      <c r="G556" s="76"/>
      <c r="H556" s="76" t="str">
        <f>IF(G556='Tablas AR'!$B$10,1,IF('Análisis de Riesgos'!G556='Tablas AR'!$B$11,2,IF('Análisis de Riesgos'!G556='Tablas AR'!$B$12,3,"")))</f>
        <v/>
      </c>
      <c r="I556" s="76">
        <f t="shared" si="1"/>
        <v>0</v>
      </c>
    </row>
    <row r="557" ht="14.25" customHeight="1">
      <c r="B557" s="84" t="str">
        <f t="array" ref="B557">IFERROR(INDEX(Activos!$B$3:$C$16, MATCH(C557,Activos!$B$3:$B$16),2),"")</f>
        <v/>
      </c>
      <c r="C557" s="84"/>
      <c r="D557" s="84"/>
      <c r="E557" s="76"/>
      <c r="F557" s="76" t="str">
        <f>IF(E557='Tablas AR'!$B$4,1,IF('Análisis de Riesgos'!E557='Tablas AR'!$B$5,2,IF('Análisis de Riesgos'!E557='Tablas AR'!$B$6,3,"")))</f>
        <v/>
      </c>
      <c r="G557" s="76"/>
      <c r="H557" s="76" t="str">
        <f>IF(G557='Tablas AR'!$B$10,1,IF('Análisis de Riesgos'!G557='Tablas AR'!$B$11,2,IF('Análisis de Riesgos'!G557='Tablas AR'!$B$12,3,"")))</f>
        <v/>
      </c>
      <c r="I557" s="76">
        <f t="shared" si="1"/>
        <v>0</v>
      </c>
    </row>
    <row r="558" ht="14.25" customHeight="1">
      <c r="B558" s="84" t="str">
        <f t="array" ref="B558">IFERROR(INDEX(Activos!$B$3:$C$16, MATCH(C558,Activos!$B$3:$B$16),2),"")</f>
        <v/>
      </c>
      <c r="C558" s="84"/>
      <c r="D558" s="84"/>
      <c r="E558" s="76"/>
      <c r="F558" s="76" t="str">
        <f>IF(E558='Tablas AR'!$B$4,1,IF('Análisis de Riesgos'!E558='Tablas AR'!$B$5,2,IF('Análisis de Riesgos'!E558='Tablas AR'!$B$6,3,"")))</f>
        <v/>
      </c>
      <c r="G558" s="76"/>
      <c r="H558" s="76" t="str">
        <f>IF(G558='Tablas AR'!$B$10,1,IF('Análisis de Riesgos'!G558='Tablas AR'!$B$11,2,IF('Análisis de Riesgos'!G558='Tablas AR'!$B$12,3,"")))</f>
        <v/>
      </c>
      <c r="I558" s="76">
        <f t="shared" si="1"/>
        <v>0</v>
      </c>
    </row>
    <row r="559" ht="14.25" customHeight="1">
      <c r="B559" s="84" t="str">
        <f t="array" ref="B559">IFERROR(INDEX(Activos!$B$3:$C$16, MATCH(C559,Activos!$B$3:$B$16),2),"")</f>
        <v/>
      </c>
      <c r="C559" s="84"/>
      <c r="D559" s="84"/>
      <c r="E559" s="76"/>
      <c r="F559" s="76" t="str">
        <f>IF(E559='Tablas AR'!$B$4,1,IF('Análisis de Riesgos'!E559='Tablas AR'!$B$5,2,IF('Análisis de Riesgos'!E559='Tablas AR'!$B$6,3,"")))</f>
        <v/>
      </c>
      <c r="G559" s="76"/>
      <c r="H559" s="76" t="str">
        <f>IF(G559='Tablas AR'!$B$10,1,IF('Análisis de Riesgos'!G559='Tablas AR'!$B$11,2,IF('Análisis de Riesgos'!G559='Tablas AR'!$B$12,3,"")))</f>
        <v/>
      </c>
      <c r="I559" s="76">
        <f t="shared" si="1"/>
        <v>0</v>
      </c>
    </row>
    <row r="560" ht="14.25" customHeight="1">
      <c r="B560" s="84" t="str">
        <f t="array" ref="B560">IFERROR(INDEX(Activos!$B$3:$C$16, MATCH(C560,Activos!$B$3:$B$16),2),"")</f>
        <v/>
      </c>
      <c r="C560" s="84"/>
      <c r="D560" s="84"/>
      <c r="E560" s="76"/>
      <c r="F560" s="76" t="str">
        <f>IF(E560='Tablas AR'!$B$4,1,IF('Análisis de Riesgos'!E560='Tablas AR'!$B$5,2,IF('Análisis de Riesgos'!E560='Tablas AR'!$B$6,3,"")))</f>
        <v/>
      </c>
      <c r="G560" s="76"/>
      <c r="H560" s="76" t="str">
        <f>IF(G560='Tablas AR'!$B$10,1,IF('Análisis de Riesgos'!G560='Tablas AR'!$B$11,2,IF('Análisis de Riesgos'!G560='Tablas AR'!$B$12,3,"")))</f>
        <v/>
      </c>
      <c r="I560" s="76">
        <f t="shared" si="1"/>
        <v>0</v>
      </c>
    </row>
    <row r="561" ht="14.25" customHeight="1">
      <c r="B561" s="84" t="str">
        <f t="array" ref="B561">IFERROR(INDEX(Activos!$B$3:$C$16, MATCH(C561,Activos!$B$3:$B$16),2),"")</f>
        <v/>
      </c>
      <c r="C561" s="84"/>
      <c r="D561" s="84"/>
      <c r="E561" s="76"/>
      <c r="F561" s="76" t="str">
        <f>IF(E561='Tablas AR'!$B$4,1,IF('Análisis de Riesgos'!E561='Tablas AR'!$B$5,2,IF('Análisis de Riesgos'!E561='Tablas AR'!$B$6,3,"")))</f>
        <v/>
      </c>
      <c r="G561" s="76"/>
      <c r="H561" s="76" t="str">
        <f>IF(G561='Tablas AR'!$B$10,1,IF('Análisis de Riesgos'!G561='Tablas AR'!$B$11,2,IF('Análisis de Riesgos'!G561='Tablas AR'!$B$12,3,"")))</f>
        <v/>
      </c>
      <c r="I561" s="76">
        <f t="shared" si="1"/>
        <v>0</v>
      </c>
    </row>
    <row r="562" ht="14.25" customHeight="1">
      <c r="B562" s="84" t="str">
        <f t="array" ref="B562">IFERROR(INDEX(Activos!$B$3:$C$16, MATCH(C562,Activos!$B$3:$B$16),2),"")</f>
        <v/>
      </c>
      <c r="C562" s="84"/>
      <c r="D562" s="84"/>
      <c r="E562" s="76"/>
      <c r="F562" s="76" t="str">
        <f>IF(E562='Tablas AR'!$B$4,1,IF('Análisis de Riesgos'!E562='Tablas AR'!$B$5,2,IF('Análisis de Riesgos'!E562='Tablas AR'!$B$6,3,"")))</f>
        <v/>
      </c>
      <c r="G562" s="76"/>
      <c r="H562" s="76" t="str">
        <f>IF(G562='Tablas AR'!$B$10,1,IF('Análisis de Riesgos'!G562='Tablas AR'!$B$11,2,IF('Análisis de Riesgos'!G562='Tablas AR'!$B$12,3,"")))</f>
        <v/>
      </c>
      <c r="I562" s="76">
        <f t="shared" si="1"/>
        <v>0</v>
      </c>
    </row>
    <row r="563" ht="14.25" customHeight="1">
      <c r="B563" s="84" t="str">
        <f t="array" ref="B563">IFERROR(INDEX(Activos!$B$3:$C$16, MATCH(C563,Activos!$B$3:$B$16),2),"")</f>
        <v/>
      </c>
      <c r="C563" s="84"/>
      <c r="D563" s="84"/>
      <c r="E563" s="76"/>
      <c r="F563" s="76" t="str">
        <f>IF(E563='Tablas AR'!$B$4,1,IF('Análisis de Riesgos'!E563='Tablas AR'!$B$5,2,IF('Análisis de Riesgos'!E563='Tablas AR'!$B$6,3,"")))</f>
        <v/>
      </c>
      <c r="G563" s="76"/>
      <c r="H563" s="76" t="str">
        <f>IF(G563='Tablas AR'!$B$10,1,IF('Análisis de Riesgos'!G563='Tablas AR'!$B$11,2,IF('Análisis de Riesgos'!G563='Tablas AR'!$B$12,3,"")))</f>
        <v/>
      </c>
      <c r="I563" s="76">
        <f t="shared" si="1"/>
        <v>0</v>
      </c>
    </row>
    <row r="564" ht="14.25" customHeight="1">
      <c r="B564" s="84" t="str">
        <f t="array" ref="B564">IFERROR(INDEX(Activos!$B$3:$C$16, MATCH(C564,Activos!$B$3:$B$16),2),"")</f>
        <v/>
      </c>
      <c r="C564" s="84"/>
      <c r="D564" s="84"/>
      <c r="E564" s="76"/>
      <c r="F564" s="76" t="str">
        <f>IF(E564='Tablas AR'!$B$4,1,IF('Análisis de Riesgos'!E564='Tablas AR'!$B$5,2,IF('Análisis de Riesgos'!E564='Tablas AR'!$B$6,3,"")))</f>
        <v/>
      </c>
      <c r="G564" s="76"/>
      <c r="H564" s="76" t="str">
        <f>IF(G564='Tablas AR'!$B$10,1,IF('Análisis de Riesgos'!G564='Tablas AR'!$B$11,2,IF('Análisis de Riesgos'!G564='Tablas AR'!$B$12,3,"")))</f>
        <v/>
      </c>
      <c r="I564" s="76">
        <f t="shared" si="1"/>
        <v>0</v>
      </c>
    </row>
    <row r="565" ht="14.25" customHeight="1">
      <c r="B565" s="84" t="str">
        <f t="array" ref="B565">IFERROR(INDEX(Activos!$B$3:$C$16, MATCH(C565,Activos!$B$3:$B$16),2),"")</f>
        <v/>
      </c>
      <c r="C565" s="84"/>
      <c r="D565" s="84"/>
      <c r="E565" s="76"/>
      <c r="F565" s="76" t="str">
        <f>IF(E565='Tablas AR'!$B$4,1,IF('Análisis de Riesgos'!E565='Tablas AR'!$B$5,2,IF('Análisis de Riesgos'!E565='Tablas AR'!$B$6,3,"")))</f>
        <v/>
      </c>
      <c r="G565" s="76"/>
      <c r="H565" s="76" t="str">
        <f>IF(G565='Tablas AR'!$B$10,1,IF('Análisis de Riesgos'!G565='Tablas AR'!$B$11,2,IF('Análisis de Riesgos'!G565='Tablas AR'!$B$12,3,"")))</f>
        <v/>
      </c>
      <c r="I565" s="76">
        <f t="shared" si="1"/>
        <v>0</v>
      </c>
    </row>
    <row r="566" ht="14.25" customHeight="1">
      <c r="B566" s="84" t="str">
        <f t="array" ref="B566">IFERROR(INDEX(Activos!$B$3:$C$16, MATCH(C566,Activos!$B$3:$B$16),2),"")</f>
        <v/>
      </c>
      <c r="C566" s="84"/>
      <c r="D566" s="84"/>
      <c r="E566" s="76"/>
      <c r="F566" s="76" t="str">
        <f>IF(E566='Tablas AR'!$B$4,1,IF('Análisis de Riesgos'!E566='Tablas AR'!$B$5,2,IF('Análisis de Riesgos'!E566='Tablas AR'!$B$6,3,"")))</f>
        <v/>
      </c>
      <c r="G566" s="76"/>
      <c r="H566" s="76" t="str">
        <f>IF(G566='Tablas AR'!$B$10,1,IF('Análisis de Riesgos'!G566='Tablas AR'!$B$11,2,IF('Análisis de Riesgos'!G566='Tablas AR'!$B$12,3,"")))</f>
        <v/>
      </c>
      <c r="I566" s="76">
        <f t="shared" si="1"/>
        <v>0</v>
      </c>
    </row>
    <row r="567" ht="14.25" customHeight="1">
      <c r="B567" s="84" t="str">
        <f t="array" ref="B567">IFERROR(INDEX(Activos!$B$3:$C$16, MATCH(C567,Activos!$B$3:$B$16),2),"")</f>
        <v/>
      </c>
      <c r="C567" s="84"/>
      <c r="D567" s="84"/>
      <c r="E567" s="76"/>
      <c r="F567" s="76" t="str">
        <f>IF(E567='Tablas AR'!$B$4,1,IF('Análisis de Riesgos'!E567='Tablas AR'!$B$5,2,IF('Análisis de Riesgos'!E567='Tablas AR'!$B$6,3,"")))</f>
        <v/>
      </c>
      <c r="G567" s="76"/>
      <c r="H567" s="76" t="str">
        <f>IF(G567='Tablas AR'!$B$10,1,IF('Análisis de Riesgos'!G567='Tablas AR'!$B$11,2,IF('Análisis de Riesgos'!G567='Tablas AR'!$B$12,3,"")))</f>
        <v/>
      </c>
      <c r="I567" s="76">
        <f t="shared" si="1"/>
        <v>0</v>
      </c>
    </row>
    <row r="568" ht="14.25" customHeight="1">
      <c r="B568" s="84" t="str">
        <f t="array" ref="B568">IFERROR(INDEX(Activos!$B$3:$C$16, MATCH(C568,Activos!$B$3:$B$16),2),"")</f>
        <v/>
      </c>
      <c r="C568" s="84"/>
      <c r="D568" s="84"/>
      <c r="E568" s="76"/>
      <c r="F568" s="76" t="str">
        <f>IF(E568='Tablas AR'!$B$4,1,IF('Análisis de Riesgos'!E568='Tablas AR'!$B$5,2,IF('Análisis de Riesgos'!E568='Tablas AR'!$B$6,3,"")))</f>
        <v/>
      </c>
      <c r="G568" s="76"/>
      <c r="H568" s="76" t="str">
        <f>IF(G568='Tablas AR'!$B$10,1,IF('Análisis de Riesgos'!G568='Tablas AR'!$B$11,2,IF('Análisis de Riesgos'!G568='Tablas AR'!$B$12,3,"")))</f>
        <v/>
      </c>
      <c r="I568" s="76">
        <f t="shared" si="1"/>
        <v>0</v>
      </c>
    </row>
    <row r="569" ht="14.25" customHeight="1">
      <c r="B569" s="84" t="str">
        <f t="array" ref="B569">IFERROR(INDEX(Activos!$B$3:$C$16, MATCH(C569,Activos!$B$3:$B$16),2),"")</f>
        <v/>
      </c>
      <c r="C569" s="84"/>
      <c r="D569" s="84"/>
      <c r="E569" s="76"/>
      <c r="F569" s="76" t="str">
        <f>IF(E569='Tablas AR'!$B$4,1,IF('Análisis de Riesgos'!E569='Tablas AR'!$B$5,2,IF('Análisis de Riesgos'!E569='Tablas AR'!$B$6,3,"")))</f>
        <v/>
      </c>
      <c r="G569" s="76"/>
      <c r="H569" s="76" t="str">
        <f>IF(G569='Tablas AR'!$B$10,1,IF('Análisis de Riesgos'!G569='Tablas AR'!$B$11,2,IF('Análisis de Riesgos'!G569='Tablas AR'!$B$12,3,"")))</f>
        <v/>
      </c>
      <c r="I569" s="76">
        <f t="shared" si="1"/>
        <v>0</v>
      </c>
    </row>
    <row r="570" ht="14.25" customHeight="1">
      <c r="B570" s="84" t="str">
        <f t="array" ref="B570">IFERROR(INDEX(Activos!$B$3:$C$16, MATCH(C570,Activos!$B$3:$B$16),2),"")</f>
        <v/>
      </c>
      <c r="C570" s="84"/>
      <c r="D570" s="84"/>
      <c r="E570" s="76"/>
      <c r="F570" s="76" t="str">
        <f>IF(E570='Tablas AR'!$B$4,1,IF('Análisis de Riesgos'!E570='Tablas AR'!$B$5,2,IF('Análisis de Riesgos'!E570='Tablas AR'!$B$6,3,"")))</f>
        <v/>
      </c>
      <c r="G570" s="76"/>
      <c r="H570" s="76" t="str">
        <f>IF(G570='Tablas AR'!$B$10,1,IF('Análisis de Riesgos'!G570='Tablas AR'!$B$11,2,IF('Análisis de Riesgos'!G570='Tablas AR'!$B$12,3,"")))</f>
        <v/>
      </c>
      <c r="I570" s="76">
        <f t="shared" si="1"/>
        <v>0</v>
      </c>
    </row>
    <row r="571" ht="14.25" customHeight="1">
      <c r="B571" s="84" t="str">
        <f t="array" ref="B571">IFERROR(INDEX(Activos!$B$3:$C$16, MATCH(C571,Activos!$B$3:$B$16),2),"")</f>
        <v/>
      </c>
      <c r="C571" s="84"/>
      <c r="D571" s="84"/>
      <c r="E571" s="76"/>
      <c r="F571" s="76" t="str">
        <f>IF(E571='Tablas AR'!$B$4,1,IF('Análisis de Riesgos'!E571='Tablas AR'!$B$5,2,IF('Análisis de Riesgos'!E571='Tablas AR'!$B$6,3,"")))</f>
        <v/>
      </c>
      <c r="G571" s="76"/>
      <c r="H571" s="76" t="str">
        <f>IF(G571='Tablas AR'!$B$10,1,IF('Análisis de Riesgos'!G571='Tablas AR'!$B$11,2,IF('Análisis de Riesgos'!G571='Tablas AR'!$B$12,3,"")))</f>
        <v/>
      </c>
      <c r="I571" s="76">
        <f t="shared" si="1"/>
        <v>0</v>
      </c>
    </row>
    <row r="572" ht="14.25" customHeight="1">
      <c r="B572" s="84" t="str">
        <f t="array" ref="B572">IFERROR(INDEX(Activos!$B$3:$C$16, MATCH(C572,Activos!$B$3:$B$16),2),"")</f>
        <v/>
      </c>
      <c r="C572" s="84"/>
      <c r="D572" s="84"/>
      <c r="E572" s="76"/>
      <c r="F572" s="76" t="str">
        <f>IF(E572='Tablas AR'!$B$4,1,IF('Análisis de Riesgos'!E572='Tablas AR'!$B$5,2,IF('Análisis de Riesgos'!E572='Tablas AR'!$B$6,3,"")))</f>
        <v/>
      </c>
      <c r="G572" s="76"/>
      <c r="H572" s="76" t="str">
        <f>IF(G572='Tablas AR'!$B$10,1,IF('Análisis de Riesgos'!G572='Tablas AR'!$B$11,2,IF('Análisis de Riesgos'!G572='Tablas AR'!$B$12,3,"")))</f>
        <v/>
      </c>
      <c r="I572" s="76">
        <f t="shared" si="1"/>
        <v>0</v>
      </c>
    </row>
    <row r="573" ht="14.25" customHeight="1">
      <c r="B573" s="84" t="str">
        <f t="array" ref="B573">IFERROR(INDEX(Activos!$B$3:$C$16, MATCH(C573,Activos!$B$3:$B$16),2),"")</f>
        <v/>
      </c>
      <c r="C573" s="84"/>
      <c r="D573" s="84"/>
      <c r="E573" s="76"/>
      <c r="F573" s="76" t="str">
        <f>IF(E573='Tablas AR'!$B$4,1,IF('Análisis de Riesgos'!E573='Tablas AR'!$B$5,2,IF('Análisis de Riesgos'!E573='Tablas AR'!$B$6,3,"")))</f>
        <v/>
      </c>
      <c r="G573" s="76"/>
      <c r="H573" s="76" t="str">
        <f>IF(G573='Tablas AR'!$B$10,1,IF('Análisis de Riesgos'!G573='Tablas AR'!$B$11,2,IF('Análisis de Riesgos'!G573='Tablas AR'!$B$12,3,"")))</f>
        <v/>
      </c>
      <c r="I573" s="76">
        <f t="shared" si="1"/>
        <v>0</v>
      </c>
    </row>
    <row r="574" ht="14.25" customHeight="1">
      <c r="B574" s="84" t="str">
        <f t="array" ref="B574">IFERROR(INDEX(Activos!$B$3:$C$16, MATCH(C574,Activos!$B$3:$B$16),2),"")</f>
        <v/>
      </c>
      <c r="C574" s="84"/>
      <c r="D574" s="84"/>
      <c r="E574" s="76"/>
      <c r="F574" s="76" t="str">
        <f>IF(E574='Tablas AR'!$B$4,1,IF('Análisis de Riesgos'!E574='Tablas AR'!$B$5,2,IF('Análisis de Riesgos'!E574='Tablas AR'!$B$6,3,"")))</f>
        <v/>
      </c>
      <c r="G574" s="76"/>
      <c r="H574" s="76" t="str">
        <f>IF(G574='Tablas AR'!$B$10,1,IF('Análisis de Riesgos'!G574='Tablas AR'!$B$11,2,IF('Análisis de Riesgos'!G574='Tablas AR'!$B$12,3,"")))</f>
        <v/>
      </c>
      <c r="I574" s="76">
        <f t="shared" si="1"/>
        <v>0</v>
      </c>
    </row>
    <row r="575" ht="14.25" customHeight="1">
      <c r="B575" s="84" t="str">
        <f t="array" ref="B575">IFERROR(INDEX(Activos!$B$3:$C$16, MATCH(C575,Activos!$B$3:$B$16),2),"")</f>
        <v/>
      </c>
      <c r="C575" s="84"/>
      <c r="D575" s="84"/>
      <c r="E575" s="76"/>
      <c r="F575" s="76" t="str">
        <f>IF(E575='Tablas AR'!$B$4,1,IF('Análisis de Riesgos'!E575='Tablas AR'!$B$5,2,IF('Análisis de Riesgos'!E575='Tablas AR'!$B$6,3,"")))</f>
        <v/>
      </c>
      <c r="G575" s="76"/>
      <c r="H575" s="76" t="str">
        <f>IF(G575='Tablas AR'!$B$10,1,IF('Análisis de Riesgos'!G575='Tablas AR'!$B$11,2,IF('Análisis de Riesgos'!G575='Tablas AR'!$B$12,3,"")))</f>
        <v/>
      </c>
      <c r="I575" s="76">
        <f t="shared" si="1"/>
        <v>0</v>
      </c>
    </row>
    <row r="576" ht="14.25" customHeight="1">
      <c r="B576" s="84" t="str">
        <f t="array" ref="B576">IFERROR(INDEX(Activos!$B$3:$C$16, MATCH(C576,Activos!$B$3:$B$16),2),"")</f>
        <v/>
      </c>
      <c r="C576" s="84"/>
      <c r="D576" s="84"/>
      <c r="E576" s="76"/>
      <c r="F576" s="76" t="str">
        <f>IF(E576='Tablas AR'!$B$4,1,IF('Análisis de Riesgos'!E576='Tablas AR'!$B$5,2,IF('Análisis de Riesgos'!E576='Tablas AR'!$B$6,3,"")))</f>
        <v/>
      </c>
      <c r="G576" s="76"/>
      <c r="H576" s="76" t="str">
        <f>IF(G576='Tablas AR'!$B$10,1,IF('Análisis de Riesgos'!G576='Tablas AR'!$B$11,2,IF('Análisis de Riesgos'!G576='Tablas AR'!$B$12,3,"")))</f>
        <v/>
      </c>
      <c r="I576" s="76">
        <f t="shared" si="1"/>
        <v>0</v>
      </c>
    </row>
    <row r="577" ht="14.25" customHeight="1">
      <c r="B577" s="84" t="str">
        <f t="array" ref="B577">IFERROR(INDEX(Activos!$B$3:$C$16, MATCH(C577,Activos!$B$3:$B$16),2),"")</f>
        <v/>
      </c>
      <c r="C577" s="84"/>
      <c r="D577" s="84"/>
      <c r="E577" s="76"/>
      <c r="F577" s="76" t="str">
        <f>IF(E577='Tablas AR'!$B$4,1,IF('Análisis de Riesgos'!E577='Tablas AR'!$B$5,2,IF('Análisis de Riesgos'!E577='Tablas AR'!$B$6,3,"")))</f>
        <v/>
      </c>
      <c r="G577" s="76"/>
      <c r="H577" s="76" t="str">
        <f>IF(G577='Tablas AR'!$B$10,1,IF('Análisis de Riesgos'!G577='Tablas AR'!$B$11,2,IF('Análisis de Riesgos'!G577='Tablas AR'!$B$12,3,"")))</f>
        <v/>
      </c>
      <c r="I577" s="76">
        <f t="shared" si="1"/>
        <v>0</v>
      </c>
    </row>
    <row r="578" ht="14.25" customHeight="1">
      <c r="B578" s="84" t="str">
        <f t="array" ref="B578">IFERROR(INDEX(Activos!$B$3:$C$16, MATCH(C578,Activos!$B$3:$B$16),2),"")</f>
        <v/>
      </c>
      <c r="C578" s="84"/>
      <c r="D578" s="84"/>
      <c r="E578" s="76"/>
      <c r="F578" s="76" t="str">
        <f>IF(E578='Tablas AR'!$B$4,1,IF('Análisis de Riesgos'!E578='Tablas AR'!$B$5,2,IF('Análisis de Riesgos'!E578='Tablas AR'!$B$6,3,"")))</f>
        <v/>
      </c>
      <c r="G578" s="76"/>
      <c r="H578" s="76" t="str">
        <f>IF(G578='Tablas AR'!$B$10,1,IF('Análisis de Riesgos'!G578='Tablas AR'!$B$11,2,IF('Análisis de Riesgos'!G578='Tablas AR'!$B$12,3,"")))</f>
        <v/>
      </c>
      <c r="I578" s="76">
        <f t="shared" si="1"/>
        <v>0</v>
      </c>
    </row>
    <row r="579" ht="14.25" customHeight="1">
      <c r="B579" s="84" t="str">
        <f t="array" ref="B579">IFERROR(INDEX(Activos!$B$3:$C$16, MATCH(C579,Activos!$B$3:$B$16),2),"")</f>
        <v/>
      </c>
      <c r="C579" s="84"/>
      <c r="D579" s="84"/>
      <c r="E579" s="76"/>
      <c r="F579" s="76" t="str">
        <f>IF(E579='Tablas AR'!$B$4,1,IF('Análisis de Riesgos'!E579='Tablas AR'!$B$5,2,IF('Análisis de Riesgos'!E579='Tablas AR'!$B$6,3,"")))</f>
        <v/>
      </c>
      <c r="G579" s="76"/>
      <c r="H579" s="76" t="str">
        <f>IF(G579='Tablas AR'!$B$10,1,IF('Análisis de Riesgos'!G579='Tablas AR'!$B$11,2,IF('Análisis de Riesgos'!G579='Tablas AR'!$B$12,3,"")))</f>
        <v/>
      </c>
      <c r="I579" s="76">
        <f t="shared" si="1"/>
        <v>0</v>
      </c>
    </row>
    <row r="580" ht="14.25" customHeight="1">
      <c r="B580" s="84" t="str">
        <f t="array" ref="B580">IFERROR(INDEX(Activos!$B$3:$C$16, MATCH(C580,Activos!$B$3:$B$16),2),"")</f>
        <v/>
      </c>
      <c r="C580" s="84"/>
      <c r="D580" s="84"/>
      <c r="E580" s="76"/>
      <c r="F580" s="76" t="str">
        <f>IF(E580='Tablas AR'!$B$4,1,IF('Análisis de Riesgos'!E580='Tablas AR'!$B$5,2,IF('Análisis de Riesgos'!E580='Tablas AR'!$B$6,3,"")))</f>
        <v/>
      </c>
      <c r="G580" s="76"/>
      <c r="H580" s="76" t="str">
        <f>IF(G580='Tablas AR'!$B$10,1,IF('Análisis de Riesgos'!G580='Tablas AR'!$B$11,2,IF('Análisis de Riesgos'!G580='Tablas AR'!$B$12,3,"")))</f>
        <v/>
      </c>
      <c r="I580" s="76">
        <f t="shared" si="1"/>
        <v>0</v>
      </c>
    </row>
    <row r="581" ht="14.25" customHeight="1">
      <c r="B581" s="84" t="str">
        <f t="array" ref="B581">IFERROR(INDEX(Activos!$B$3:$C$16, MATCH(C581,Activos!$B$3:$B$16),2),"")</f>
        <v/>
      </c>
      <c r="C581" s="84"/>
      <c r="D581" s="84"/>
      <c r="E581" s="76"/>
      <c r="F581" s="76" t="str">
        <f>IF(E581='Tablas AR'!$B$4,1,IF('Análisis de Riesgos'!E581='Tablas AR'!$B$5,2,IF('Análisis de Riesgos'!E581='Tablas AR'!$B$6,3,"")))</f>
        <v/>
      </c>
      <c r="G581" s="76"/>
      <c r="H581" s="76" t="str">
        <f>IF(G581='Tablas AR'!$B$10,1,IF('Análisis de Riesgos'!G581='Tablas AR'!$B$11,2,IF('Análisis de Riesgos'!G581='Tablas AR'!$B$12,3,"")))</f>
        <v/>
      </c>
      <c r="I581" s="76">
        <f t="shared" si="1"/>
        <v>0</v>
      </c>
    </row>
    <row r="582" ht="14.25" customHeight="1">
      <c r="B582" s="84" t="str">
        <f t="array" ref="B582">IFERROR(INDEX(Activos!$B$3:$C$16, MATCH(C582,Activos!$B$3:$B$16),2),"")</f>
        <v/>
      </c>
      <c r="C582" s="84"/>
      <c r="D582" s="84"/>
      <c r="E582" s="76"/>
      <c r="F582" s="76" t="str">
        <f>IF(E582='Tablas AR'!$B$4,1,IF('Análisis de Riesgos'!E582='Tablas AR'!$B$5,2,IF('Análisis de Riesgos'!E582='Tablas AR'!$B$6,3,"")))</f>
        <v/>
      </c>
      <c r="G582" s="76"/>
      <c r="H582" s="76" t="str">
        <f>IF(G582='Tablas AR'!$B$10,1,IF('Análisis de Riesgos'!G582='Tablas AR'!$B$11,2,IF('Análisis de Riesgos'!G582='Tablas AR'!$B$12,3,"")))</f>
        <v/>
      </c>
      <c r="I582" s="76">
        <f t="shared" si="1"/>
        <v>0</v>
      </c>
    </row>
    <row r="583" ht="14.25" customHeight="1">
      <c r="B583" s="84" t="str">
        <f t="array" ref="B583">IFERROR(INDEX(Activos!$B$3:$C$16, MATCH(C583,Activos!$B$3:$B$16),2),"")</f>
        <v/>
      </c>
      <c r="C583" s="84"/>
      <c r="D583" s="84"/>
      <c r="E583" s="76"/>
      <c r="F583" s="76" t="str">
        <f>IF(E583='Tablas AR'!$B$4,1,IF('Análisis de Riesgos'!E583='Tablas AR'!$B$5,2,IF('Análisis de Riesgos'!E583='Tablas AR'!$B$6,3,"")))</f>
        <v/>
      </c>
      <c r="G583" s="76"/>
      <c r="H583" s="76" t="str">
        <f>IF(G583='Tablas AR'!$B$10,1,IF('Análisis de Riesgos'!G583='Tablas AR'!$B$11,2,IF('Análisis de Riesgos'!G583='Tablas AR'!$B$12,3,"")))</f>
        <v/>
      </c>
      <c r="I583" s="76">
        <f t="shared" si="1"/>
        <v>0</v>
      </c>
    </row>
    <row r="584" ht="14.25" customHeight="1">
      <c r="B584" s="84" t="str">
        <f t="array" ref="B584">IFERROR(INDEX(Activos!$B$3:$C$16, MATCH(C584,Activos!$B$3:$B$16),2),"")</f>
        <v/>
      </c>
      <c r="C584" s="84"/>
      <c r="D584" s="84"/>
      <c r="E584" s="76"/>
      <c r="F584" s="76" t="str">
        <f>IF(E584='Tablas AR'!$B$4,1,IF('Análisis de Riesgos'!E584='Tablas AR'!$B$5,2,IF('Análisis de Riesgos'!E584='Tablas AR'!$B$6,3,"")))</f>
        <v/>
      </c>
      <c r="G584" s="76"/>
      <c r="H584" s="76" t="str">
        <f>IF(G584='Tablas AR'!$B$10,1,IF('Análisis de Riesgos'!G584='Tablas AR'!$B$11,2,IF('Análisis de Riesgos'!G584='Tablas AR'!$B$12,3,"")))</f>
        <v/>
      </c>
      <c r="I584" s="76">
        <f t="shared" si="1"/>
        <v>0</v>
      </c>
    </row>
    <row r="585" ht="14.25" customHeight="1">
      <c r="B585" s="84" t="str">
        <f t="array" ref="B585">IFERROR(INDEX(Activos!$B$3:$C$16, MATCH(C585,Activos!$B$3:$B$16),2),"")</f>
        <v/>
      </c>
      <c r="C585" s="84"/>
      <c r="D585" s="84"/>
      <c r="E585" s="76"/>
      <c r="F585" s="76" t="str">
        <f>IF(E585='Tablas AR'!$B$4,1,IF('Análisis de Riesgos'!E585='Tablas AR'!$B$5,2,IF('Análisis de Riesgos'!E585='Tablas AR'!$B$6,3,"")))</f>
        <v/>
      </c>
      <c r="G585" s="76"/>
      <c r="H585" s="76" t="str">
        <f>IF(G585='Tablas AR'!$B$10,1,IF('Análisis de Riesgos'!G585='Tablas AR'!$B$11,2,IF('Análisis de Riesgos'!G585='Tablas AR'!$B$12,3,"")))</f>
        <v/>
      </c>
      <c r="I585" s="76">
        <f t="shared" si="1"/>
        <v>0</v>
      </c>
    </row>
    <row r="586" ht="14.25" customHeight="1">
      <c r="B586" s="84" t="str">
        <f t="array" ref="B586">IFERROR(INDEX(Activos!$B$3:$C$16, MATCH(C586,Activos!$B$3:$B$16),2),"")</f>
        <v/>
      </c>
      <c r="C586" s="84"/>
      <c r="D586" s="84"/>
      <c r="E586" s="76"/>
      <c r="F586" s="76" t="str">
        <f>IF(E586='Tablas AR'!$B$4,1,IF('Análisis de Riesgos'!E586='Tablas AR'!$B$5,2,IF('Análisis de Riesgos'!E586='Tablas AR'!$B$6,3,"")))</f>
        <v/>
      </c>
      <c r="G586" s="76"/>
      <c r="H586" s="76" t="str">
        <f>IF(G586='Tablas AR'!$B$10,1,IF('Análisis de Riesgos'!G586='Tablas AR'!$B$11,2,IF('Análisis de Riesgos'!G586='Tablas AR'!$B$12,3,"")))</f>
        <v/>
      </c>
      <c r="I586" s="76">
        <f t="shared" si="1"/>
        <v>0</v>
      </c>
    </row>
    <row r="587" ht="14.25" customHeight="1">
      <c r="B587" s="84" t="str">
        <f t="array" ref="B587">IFERROR(INDEX(Activos!$B$3:$C$16, MATCH(C587,Activos!$B$3:$B$16),2),"")</f>
        <v/>
      </c>
      <c r="C587" s="84"/>
      <c r="D587" s="84"/>
      <c r="E587" s="76"/>
      <c r="F587" s="76" t="str">
        <f>IF(E587='Tablas AR'!$B$4,1,IF('Análisis de Riesgos'!E587='Tablas AR'!$B$5,2,IF('Análisis de Riesgos'!E587='Tablas AR'!$B$6,3,"")))</f>
        <v/>
      </c>
      <c r="G587" s="76"/>
      <c r="H587" s="76" t="str">
        <f>IF(G587='Tablas AR'!$B$10,1,IF('Análisis de Riesgos'!G587='Tablas AR'!$B$11,2,IF('Análisis de Riesgos'!G587='Tablas AR'!$B$12,3,"")))</f>
        <v/>
      </c>
      <c r="I587" s="76">
        <f t="shared" si="1"/>
        <v>0</v>
      </c>
    </row>
    <row r="588" ht="14.25" customHeight="1">
      <c r="B588" s="84" t="str">
        <f t="array" ref="B588">IFERROR(INDEX(Activos!$B$3:$C$16, MATCH(C588,Activos!$B$3:$B$16),2),"")</f>
        <v/>
      </c>
      <c r="C588" s="84"/>
      <c r="D588" s="84"/>
      <c r="E588" s="76"/>
      <c r="F588" s="76" t="str">
        <f>IF(E588='Tablas AR'!$B$4,1,IF('Análisis de Riesgos'!E588='Tablas AR'!$B$5,2,IF('Análisis de Riesgos'!E588='Tablas AR'!$B$6,3,"")))</f>
        <v/>
      </c>
      <c r="G588" s="76"/>
      <c r="H588" s="76" t="str">
        <f>IF(G588='Tablas AR'!$B$10,1,IF('Análisis de Riesgos'!G588='Tablas AR'!$B$11,2,IF('Análisis de Riesgos'!G588='Tablas AR'!$B$12,3,"")))</f>
        <v/>
      </c>
      <c r="I588" s="76">
        <f t="shared" si="1"/>
        <v>0</v>
      </c>
    </row>
    <row r="589" ht="14.25" customHeight="1">
      <c r="B589" s="84" t="str">
        <f t="array" ref="B589">IFERROR(INDEX(Activos!$B$3:$C$16, MATCH(C589,Activos!$B$3:$B$16),2),"")</f>
        <v/>
      </c>
      <c r="C589" s="84"/>
      <c r="D589" s="84"/>
      <c r="E589" s="76"/>
      <c r="F589" s="76" t="str">
        <f>IF(E589='Tablas AR'!$B$4,1,IF('Análisis de Riesgos'!E589='Tablas AR'!$B$5,2,IF('Análisis de Riesgos'!E589='Tablas AR'!$B$6,3,"")))</f>
        <v/>
      </c>
      <c r="G589" s="76"/>
      <c r="H589" s="76" t="str">
        <f>IF(G589='Tablas AR'!$B$10,1,IF('Análisis de Riesgos'!G589='Tablas AR'!$B$11,2,IF('Análisis de Riesgos'!G589='Tablas AR'!$B$12,3,"")))</f>
        <v/>
      </c>
      <c r="I589" s="76">
        <f t="shared" si="1"/>
        <v>0</v>
      </c>
    </row>
    <row r="590" ht="14.25" customHeight="1">
      <c r="B590" s="84" t="str">
        <f t="array" ref="B590">IFERROR(INDEX(Activos!$B$3:$C$16, MATCH(C590,Activos!$B$3:$B$16),2),"")</f>
        <v/>
      </c>
      <c r="C590" s="84"/>
      <c r="D590" s="84"/>
      <c r="E590" s="76"/>
      <c r="F590" s="76" t="str">
        <f>IF(E590='Tablas AR'!$B$4,1,IF('Análisis de Riesgos'!E590='Tablas AR'!$B$5,2,IF('Análisis de Riesgos'!E590='Tablas AR'!$B$6,3,"")))</f>
        <v/>
      </c>
      <c r="G590" s="76"/>
      <c r="H590" s="76" t="str">
        <f>IF(G590='Tablas AR'!$B$10,1,IF('Análisis de Riesgos'!G590='Tablas AR'!$B$11,2,IF('Análisis de Riesgos'!G590='Tablas AR'!$B$12,3,"")))</f>
        <v/>
      </c>
      <c r="I590" s="76">
        <f t="shared" si="1"/>
        <v>0</v>
      </c>
    </row>
    <row r="591" ht="14.25" customHeight="1">
      <c r="B591" s="84" t="str">
        <f t="array" ref="B591">IFERROR(INDEX(Activos!$B$3:$C$16, MATCH(C591,Activos!$B$3:$B$16),2),"")</f>
        <v/>
      </c>
      <c r="C591" s="84"/>
      <c r="D591" s="84"/>
      <c r="E591" s="76"/>
      <c r="F591" s="76" t="str">
        <f>IF(E591='Tablas AR'!$B$4,1,IF('Análisis de Riesgos'!E591='Tablas AR'!$B$5,2,IF('Análisis de Riesgos'!E591='Tablas AR'!$B$6,3,"")))</f>
        <v/>
      </c>
      <c r="G591" s="76"/>
      <c r="H591" s="76" t="str">
        <f>IF(G591='Tablas AR'!$B$10,1,IF('Análisis de Riesgos'!G591='Tablas AR'!$B$11,2,IF('Análisis de Riesgos'!G591='Tablas AR'!$B$12,3,"")))</f>
        <v/>
      </c>
      <c r="I591" s="76">
        <f t="shared" si="1"/>
        <v>0</v>
      </c>
    </row>
    <row r="592" ht="14.25" customHeight="1">
      <c r="B592" s="84" t="str">
        <f t="array" ref="B592">IFERROR(INDEX(Activos!$B$3:$C$16, MATCH(C592,Activos!$B$3:$B$16),2),"")</f>
        <v/>
      </c>
      <c r="C592" s="84"/>
      <c r="D592" s="84"/>
      <c r="E592" s="76"/>
      <c r="F592" s="76" t="str">
        <f>IF(E592='Tablas AR'!$B$4,1,IF('Análisis de Riesgos'!E592='Tablas AR'!$B$5,2,IF('Análisis de Riesgos'!E592='Tablas AR'!$B$6,3,"")))</f>
        <v/>
      </c>
      <c r="G592" s="76"/>
      <c r="H592" s="76" t="str">
        <f>IF(G592='Tablas AR'!$B$10,1,IF('Análisis de Riesgos'!G592='Tablas AR'!$B$11,2,IF('Análisis de Riesgos'!G592='Tablas AR'!$B$12,3,"")))</f>
        <v/>
      </c>
      <c r="I592" s="76">
        <f t="shared" si="1"/>
        <v>0</v>
      </c>
    </row>
    <row r="593" ht="14.25" customHeight="1">
      <c r="B593" s="84" t="str">
        <f t="array" ref="B593">IFERROR(INDEX(Activos!$B$3:$C$16, MATCH(C593,Activos!$B$3:$B$16),2),"")</f>
        <v/>
      </c>
      <c r="C593" s="84"/>
      <c r="D593" s="84"/>
      <c r="E593" s="76"/>
      <c r="F593" s="76" t="str">
        <f>IF(E593='Tablas AR'!$B$4,1,IF('Análisis de Riesgos'!E593='Tablas AR'!$B$5,2,IF('Análisis de Riesgos'!E593='Tablas AR'!$B$6,3,"")))</f>
        <v/>
      </c>
      <c r="G593" s="76"/>
      <c r="H593" s="76" t="str">
        <f>IF(G593='Tablas AR'!$B$10,1,IF('Análisis de Riesgos'!G593='Tablas AR'!$B$11,2,IF('Análisis de Riesgos'!G593='Tablas AR'!$B$12,3,"")))</f>
        <v/>
      </c>
      <c r="I593" s="76">
        <f t="shared" si="1"/>
        <v>0</v>
      </c>
    </row>
    <row r="594" ht="14.25" customHeight="1">
      <c r="B594" s="84" t="str">
        <f t="array" ref="B594">IFERROR(INDEX(Activos!$B$3:$C$16, MATCH(C594,Activos!$B$3:$B$16),2),"")</f>
        <v/>
      </c>
      <c r="C594" s="84"/>
      <c r="D594" s="84"/>
      <c r="E594" s="76"/>
      <c r="F594" s="76" t="str">
        <f>IF(E594='Tablas AR'!$B$4,1,IF('Análisis de Riesgos'!E594='Tablas AR'!$B$5,2,IF('Análisis de Riesgos'!E594='Tablas AR'!$B$6,3,"")))</f>
        <v/>
      </c>
      <c r="G594" s="76"/>
      <c r="H594" s="76" t="str">
        <f>IF(G594='Tablas AR'!$B$10,1,IF('Análisis de Riesgos'!G594='Tablas AR'!$B$11,2,IF('Análisis de Riesgos'!G594='Tablas AR'!$B$12,3,"")))</f>
        <v/>
      </c>
      <c r="I594" s="76">
        <f t="shared" si="1"/>
        <v>0</v>
      </c>
    </row>
    <row r="595" ht="14.25" customHeight="1">
      <c r="B595" s="84" t="str">
        <f t="array" ref="B595">IFERROR(INDEX(Activos!$B$3:$C$16, MATCH(C595,Activos!$B$3:$B$16),2),"")</f>
        <v/>
      </c>
      <c r="C595" s="84"/>
      <c r="D595" s="84"/>
      <c r="E595" s="76"/>
      <c r="F595" s="76" t="str">
        <f>IF(E595='Tablas AR'!$B$4,1,IF('Análisis de Riesgos'!E595='Tablas AR'!$B$5,2,IF('Análisis de Riesgos'!E595='Tablas AR'!$B$6,3,"")))</f>
        <v/>
      </c>
      <c r="G595" s="76"/>
      <c r="H595" s="76" t="str">
        <f>IF(G595='Tablas AR'!$B$10,1,IF('Análisis de Riesgos'!G595='Tablas AR'!$B$11,2,IF('Análisis de Riesgos'!G595='Tablas AR'!$B$12,3,"")))</f>
        <v/>
      </c>
      <c r="I595" s="76">
        <f t="shared" si="1"/>
        <v>0</v>
      </c>
    </row>
    <row r="596" ht="14.25" customHeight="1">
      <c r="B596" s="84" t="str">
        <f t="array" ref="B596">IFERROR(INDEX(Activos!$B$3:$C$16, MATCH(C596,Activos!$B$3:$B$16),2),"")</f>
        <v/>
      </c>
      <c r="C596" s="84"/>
      <c r="D596" s="84"/>
      <c r="E596" s="76"/>
      <c r="F596" s="76" t="str">
        <f>IF(E596='Tablas AR'!$B$4,1,IF('Análisis de Riesgos'!E596='Tablas AR'!$B$5,2,IF('Análisis de Riesgos'!E596='Tablas AR'!$B$6,3,"")))</f>
        <v/>
      </c>
      <c r="G596" s="76"/>
      <c r="H596" s="76" t="str">
        <f>IF(G596='Tablas AR'!$B$10,1,IF('Análisis de Riesgos'!G596='Tablas AR'!$B$11,2,IF('Análisis de Riesgos'!G596='Tablas AR'!$B$12,3,"")))</f>
        <v/>
      </c>
      <c r="I596" s="76">
        <f t="shared" si="1"/>
        <v>0</v>
      </c>
    </row>
    <row r="597" ht="14.25" customHeight="1">
      <c r="B597" s="84" t="str">
        <f t="array" ref="B597">IFERROR(INDEX(Activos!$B$3:$C$16, MATCH(C597,Activos!$B$3:$B$16),2),"")</f>
        <v/>
      </c>
      <c r="C597" s="84"/>
      <c r="D597" s="84"/>
      <c r="E597" s="76"/>
      <c r="F597" s="76" t="str">
        <f>IF(E597='Tablas AR'!$B$4,1,IF('Análisis de Riesgos'!E597='Tablas AR'!$B$5,2,IF('Análisis de Riesgos'!E597='Tablas AR'!$B$6,3,"")))</f>
        <v/>
      </c>
      <c r="G597" s="76"/>
      <c r="H597" s="76" t="str">
        <f>IF(G597='Tablas AR'!$B$10,1,IF('Análisis de Riesgos'!G597='Tablas AR'!$B$11,2,IF('Análisis de Riesgos'!G597='Tablas AR'!$B$12,3,"")))</f>
        <v/>
      </c>
      <c r="I597" s="76">
        <f t="shared" si="1"/>
        <v>0</v>
      </c>
    </row>
    <row r="598" ht="14.25" customHeight="1">
      <c r="B598" s="84" t="str">
        <f t="array" ref="B598">IFERROR(INDEX(Activos!$B$3:$C$16, MATCH(C598,Activos!$B$3:$B$16),2),"")</f>
        <v/>
      </c>
      <c r="C598" s="84"/>
      <c r="D598" s="84"/>
      <c r="E598" s="76"/>
      <c r="F598" s="76" t="str">
        <f>IF(E598='Tablas AR'!$B$4,1,IF('Análisis de Riesgos'!E598='Tablas AR'!$B$5,2,IF('Análisis de Riesgos'!E598='Tablas AR'!$B$6,3,"")))</f>
        <v/>
      </c>
      <c r="G598" s="76"/>
      <c r="H598" s="76" t="str">
        <f>IF(G598='Tablas AR'!$B$10,1,IF('Análisis de Riesgos'!G598='Tablas AR'!$B$11,2,IF('Análisis de Riesgos'!G598='Tablas AR'!$B$12,3,"")))</f>
        <v/>
      </c>
      <c r="I598" s="76">
        <f t="shared" si="1"/>
        <v>0</v>
      </c>
    </row>
    <row r="599" ht="14.25" customHeight="1">
      <c r="B599" s="84" t="str">
        <f t="array" ref="B599">IFERROR(INDEX(Activos!$B$3:$C$16, MATCH(C599,Activos!$B$3:$B$16),2),"")</f>
        <v/>
      </c>
      <c r="C599" s="84"/>
      <c r="D599" s="84"/>
      <c r="E599" s="76"/>
      <c r="F599" s="76" t="str">
        <f>IF(E599='Tablas AR'!$B$4,1,IF('Análisis de Riesgos'!E599='Tablas AR'!$B$5,2,IF('Análisis de Riesgos'!E599='Tablas AR'!$B$6,3,"")))</f>
        <v/>
      </c>
      <c r="G599" s="76"/>
      <c r="H599" s="76" t="str">
        <f>IF(G599='Tablas AR'!$B$10,1,IF('Análisis de Riesgos'!G599='Tablas AR'!$B$11,2,IF('Análisis de Riesgos'!G599='Tablas AR'!$B$12,3,"")))</f>
        <v/>
      </c>
      <c r="I599" s="76">
        <f t="shared" si="1"/>
        <v>0</v>
      </c>
    </row>
    <row r="600" ht="14.25" customHeight="1">
      <c r="B600" s="84" t="str">
        <f t="array" ref="B600">IFERROR(INDEX(Activos!$B$3:$C$16, MATCH(C600,Activos!$B$3:$B$16),2),"")</f>
        <v/>
      </c>
      <c r="C600" s="84"/>
      <c r="D600" s="84"/>
      <c r="E600" s="76"/>
      <c r="F600" s="76" t="str">
        <f>IF(E600='Tablas AR'!$B$4,1,IF('Análisis de Riesgos'!E600='Tablas AR'!$B$5,2,IF('Análisis de Riesgos'!E600='Tablas AR'!$B$6,3,"")))</f>
        <v/>
      </c>
      <c r="G600" s="76"/>
      <c r="H600" s="76" t="str">
        <f>IF(G600='Tablas AR'!$B$10,1,IF('Análisis de Riesgos'!G600='Tablas AR'!$B$11,2,IF('Análisis de Riesgos'!G600='Tablas AR'!$B$12,3,"")))</f>
        <v/>
      </c>
      <c r="I600" s="76">
        <f t="shared" si="1"/>
        <v>0</v>
      </c>
    </row>
    <row r="601" ht="14.25" customHeight="1">
      <c r="B601" s="84" t="str">
        <f t="array" ref="B601">IFERROR(INDEX(Activos!$B$3:$C$16, MATCH(C601,Activos!$B$3:$B$16),2),"")</f>
        <v/>
      </c>
      <c r="C601" s="84"/>
      <c r="D601" s="84"/>
      <c r="E601" s="76"/>
      <c r="F601" s="76" t="str">
        <f>IF(E601='Tablas AR'!$B$4,1,IF('Análisis de Riesgos'!E601='Tablas AR'!$B$5,2,IF('Análisis de Riesgos'!E601='Tablas AR'!$B$6,3,"")))</f>
        <v/>
      </c>
      <c r="G601" s="76"/>
      <c r="H601" s="76" t="str">
        <f>IF(G601='Tablas AR'!$B$10,1,IF('Análisis de Riesgos'!G601='Tablas AR'!$B$11,2,IF('Análisis de Riesgos'!G601='Tablas AR'!$B$12,3,"")))</f>
        <v/>
      </c>
      <c r="I601" s="76">
        <f t="shared" si="1"/>
        <v>0</v>
      </c>
    </row>
    <row r="602" ht="14.25" customHeight="1">
      <c r="B602" s="84" t="str">
        <f t="array" ref="B602">IFERROR(INDEX(Activos!$B$3:$C$16, MATCH(C602,Activos!$B$3:$B$16),2),"")</f>
        <v/>
      </c>
      <c r="C602" s="84"/>
      <c r="D602" s="84"/>
      <c r="E602" s="76"/>
      <c r="F602" s="76" t="str">
        <f>IF(E602='Tablas AR'!$B$4,1,IF('Análisis de Riesgos'!E602='Tablas AR'!$B$5,2,IF('Análisis de Riesgos'!E602='Tablas AR'!$B$6,3,"")))</f>
        <v/>
      </c>
      <c r="G602" s="76"/>
      <c r="H602" s="76" t="str">
        <f>IF(G602='Tablas AR'!$B$10,1,IF('Análisis de Riesgos'!G602='Tablas AR'!$B$11,2,IF('Análisis de Riesgos'!G602='Tablas AR'!$B$12,3,"")))</f>
        <v/>
      </c>
      <c r="I602" s="76">
        <f t="shared" si="1"/>
        <v>0</v>
      </c>
    </row>
    <row r="603" ht="14.25" customHeight="1">
      <c r="B603" s="84" t="str">
        <f t="array" ref="B603">IFERROR(INDEX(Activos!$B$3:$C$16, MATCH(C603,Activos!$B$3:$B$16),2),"")</f>
        <v/>
      </c>
      <c r="C603" s="84"/>
      <c r="D603" s="84"/>
      <c r="E603" s="76"/>
      <c r="F603" s="76" t="str">
        <f>IF(E603='Tablas AR'!$B$4,1,IF('Análisis de Riesgos'!E603='Tablas AR'!$B$5,2,IF('Análisis de Riesgos'!E603='Tablas AR'!$B$6,3,"")))</f>
        <v/>
      </c>
      <c r="G603" s="76"/>
      <c r="H603" s="76" t="str">
        <f>IF(G603='Tablas AR'!$B$10,1,IF('Análisis de Riesgos'!G603='Tablas AR'!$B$11,2,IF('Análisis de Riesgos'!G603='Tablas AR'!$B$12,3,"")))</f>
        <v/>
      </c>
      <c r="I603" s="76">
        <f t="shared" si="1"/>
        <v>0</v>
      </c>
    </row>
    <row r="604" ht="14.25" customHeight="1">
      <c r="B604" s="84" t="str">
        <f t="array" ref="B604">IFERROR(INDEX(Activos!$B$3:$C$16, MATCH(C604,Activos!$B$3:$B$16),2),"")</f>
        <v/>
      </c>
      <c r="C604" s="84"/>
      <c r="D604" s="84"/>
      <c r="E604" s="76"/>
      <c r="F604" s="76" t="str">
        <f>IF(E604='Tablas AR'!$B$4,1,IF('Análisis de Riesgos'!E604='Tablas AR'!$B$5,2,IF('Análisis de Riesgos'!E604='Tablas AR'!$B$6,3,"")))</f>
        <v/>
      </c>
      <c r="G604" s="76"/>
      <c r="H604" s="76" t="str">
        <f>IF(G604='Tablas AR'!$B$10,1,IF('Análisis de Riesgos'!G604='Tablas AR'!$B$11,2,IF('Análisis de Riesgos'!G604='Tablas AR'!$B$12,3,"")))</f>
        <v/>
      </c>
      <c r="I604" s="76">
        <f t="shared" si="1"/>
        <v>0</v>
      </c>
    </row>
    <row r="605" ht="14.25" customHeight="1">
      <c r="B605" s="84" t="str">
        <f t="array" ref="B605">IFERROR(INDEX(Activos!$B$3:$C$16, MATCH(C605,Activos!$B$3:$B$16),2),"")</f>
        <v/>
      </c>
      <c r="C605" s="84"/>
      <c r="D605" s="84"/>
      <c r="E605" s="76"/>
      <c r="F605" s="76" t="str">
        <f>IF(E605='Tablas AR'!$B$4,1,IF('Análisis de Riesgos'!E605='Tablas AR'!$B$5,2,IF('Análisis de Riesgos'!E605='Tablas AR'!$B$6,3,"")))</f>
        <v/>
      </c>
      <c r="G605" s="76"/>
      <c r="H605" s="76" t="str">
        <f>IF(G605='Tablas AR'!$B$10,1,IF('Análisis de Riesgos'!G605='Tablas AR'!$B$11,2,IF('Análisis de Riesgos'!G605='Tablas AR'!$B$12,3,"")))</f>
        <v/>
      </c>
      <c r="I605" s="76">
        <f t="shared" si="1"/>
        <v>0</v>
      </c>
    </row>
    <row r="606" ht="14.25" customHeight="1">
      <c r="B606" s="84" t="str">
        <f t="array" ref="B606">IFERROR(INDEX(Activos!$B$3:$C$16, MATCH(C606,Activos!$B$3:$B$16),2),"")</f>
        <v/>
      </c>
      <c r="C606" s="84"/>
      <c r="D606" s="84"/>
      <c r="E606" s="76"/>
      <c r="F606" s="76" t="str">
        <f>IF(E606='Tablas AR'!$B$4,1,IF('Análisis de Riesgos'!E606='Tablas AR'!$B$5,2,IF('Análisis de Riesgos'!E606='Tablas AR'!$B$6,3,"")))</f>
        <v/>
      </c>
      <c r="G606" s="76"/>
      <c r="H606" s="76" t="str">
        <f>IF(G606='Tablas AR'!$B$10,1,IF('Análisis de Riesgos'!G606='Tablas AR'!$B$11,2,IF('Análisis de Riesgos'!G606='Tablas AR'!$B$12,3,"")))</f>
        <v/>
      </c>
      <c r="I606" s="76">
        <f t="shared" si="1"/>
        <v>0</v>
      </c>
    </row>
    <row r="607" ht="14.25" customHeight="1">
      <c r="B607" s="84" t="str">
        <f t="array" ref="B607">IFERROR(INDEX(Activos!$B$3:$C$16, MATCH(C607,Activos!$B$3:$B$16),2),"")</f>
        <v/>
      </c>
      <c r="C607" s="84"/>
      <c r="D607" s="84"/>
      <c r="E607" s="76"/>
      <c r="F607" s="76" t="str">
        <f>IF(E607='Tablas AR'!$B$4,1,IF('Análisis de Riesgos'!E607='Tablas AR'!$B$5,2,IF('Análisis de Riesgos'!E607='Tablas AR'!$B$6,3,"")))</f>
        <v/>
      </c>
      <c r="G607" s="76"/>
      <c r="H607" s="76" t="str">
        <f>IF(G607='Tablas AR'!$B$10,1,IF('Análisis de Riesgos'!G607='Tablas AR'!$B$11,2,IF('Análisis de Riesgos'!G607='Tablas AR'!$B$12,3,"")))</f>
        <v/>
      </c>
      <c r="I607" s="76">
        <f t="shared" si="1"/>
        <v>0</v>
      </c>
    </row>
    <row r="608" ht="14.25" customHeight="1">
      <c r="B608" s="84" t="str">
        <f t="array" ref="B608">IFERROR(INDEX(Activos!$B$3:$C$16, MATCH(C608,Activos!$B$3:$B$16),2),"")</f>
        <v/>
      </c>
      <c r="C608" s="84"/>
      <c r="D608" s="84"/>
      <c r="E608" s="76"/>
      <c r="F608" s="76" t="str">
        <f>IF(E608='Tablas AR'!$B$4,1,IF('Análisis de Riesgos'!E608='Tablas AR'!$B$5,2,IF('Análisis de Riesgos'!E608='Tablas AR'!$B$6,3,"")))</f>
        <v/>
      </c>
      <c r="G608" s="76"/>
      <c r="H608" s="76" t="str">
        <f>IF(G608='Tablas AR'!$B$10,1,IF('Análisis de Riesgos'!G608='Tablas AR'!$B$11,2,IF('Análisis de Riesgos'!G608='Tablas AR'!$B$12,3,"")))</f>
        <v/>
      </c>
      <c r="I608" s="76">
        <f t="shared" si="1"/>
        <v>0</v>
      </c>
    </row>
    <row r="609" ht="14.25" customHeight="1">
      <c r="B609" s="84" t="str">
        <f t="array" ref="B609">IFERROR(INDEX(Activos!$B$3:$C$16, MATCH(C609,Activos!$B$3:$B$16),2),"")</f>
        <v/>
      </c>
      <c r="C609" s="84"/>
      <c r="D609" s="84"/>
      <c r="E609" s="76"/>
      <c r="F609" s="76" t="str">
        <f>IF(E609='Tablas AR'!$B$4,1,IF('Análisis de Riesgos'!E609='Tablas AR'!$B$5,2,IF('Análisis de Riesgos'!E609='Tablas AR'!$B$6,3,"")))</f>
        <v/>
      </c>
      <c r="G609" s="76"/>
      <c r="H609" s="76" t="str">
        <f>IF(G609='Tablas AR'!$B$10,1,IF('Análisis de Riesgos'!G609='Tablas AR'!$B$11,2,IF('Análisis de Riesgos'!G609='Tablas AR'!$B$12,3,"")))</f>
        <v/>
      </c>
      <c r="I609" s="76">
        <f t="shared" si="1"/>
        <v>0</v>
      </c>
    </row>
    <row r="610" ht="14.25" customHeight="1">
      <c r="B610" s="84" t="str">
        <f t="array" ref="B610">IFERROR(INDEX(Activos!$B$3:$C$16, MATCH(C610,Activos!$B$3:$B$16),2),"")</f>
        <v/>
      </c>
      <c r="C610" s="84"/>
      <c r="D610" s="84"/>
      <c r="E610" s="76"/>
      <c r="F610" s="76" t="str">
        <f>IF(E610='Tablas AR'!$B$4,1,IF('Análisis de Riesgos'!E610='Tablas AR'!$B$5,2,IF('Análisis de Riesgos'!E610='Tablas AR'!$B$6,3,"")))</f>
        <v/>
      </c>
      <c r="G610" s="76"/>
      <c r="H610" s="76" t="str">
        <f>IF(G610='Tablas AR'!$B$10,1,IF('Análisis de Riesgos'!G610='Tablas AR'!$B$11,2,IF('Análisis de Riesgos'!G610='Tablas AR'!$B$12,3,"")))</f>
        <v/>
      </c>
      <c r="I610" s="76">
        <f t="shared" si="1"/>
        <v>0</v>
      </c>
    </row>
    <row r="611" ht="14.25" customHeight="1">
      <c r="B611" s="84" t="str">
        <f t="array" ref="B611">IFERROR(INDEX(Activos!$B$3:$C$16, MATCH(C611,Activos!$B$3:$B$16),2),"")</f>
        <v/>
      </c>
      <c r="C611" s="84"/>
      <c r="D611" s="84"/>
      <c r="E611" s="76"/>
      <c r="F611" s="76" t="str">
        <f>IF(E611='Tablas AR'!$B$4,1,IF('Análisis de Riesgos'!E611='Tablas AR'!$B$5,2,IF('Análisis de Riesgos'!E611='Tablas AR'!$B$6,3,"")))</f>
        <v/>
      </c>
      <c r="G611" s="76"/>
      <c r="H611" s="76" t="str">
        <f>IF(G611='Tablas AR'!$B$10,1,IF('Análisis de Riesgos'!G611='Tablas AR'!$B$11,2,IF('Análisis de Riesgos'!G611='Tablas AR'!$B$12,3,"")))</f>
        <v/>
      </c>
      <c r="I611" s="76">
        <f t="shared" si="1"/>
        <v>0</v>
      </c>
    </row>
    <row r="612" ht="14.25" customHeight="1">
      <c r="B612" s="84" t="str">
        <f t="array" ref="B612">IFERROR(INDEX(Activos!$B$3:$C$16, MATCH(C612,Activos!$B$3:$B$16),2),"")</f>
        <v/>
      </c>
      <c r="C612" s="84"/>
      <c r="D612" s="84"/>
      <c r="E612" s="76"/>
      <c r="F612" s="76" t="str">
        <f>IF(E612='Tablas AR'!$B$4,1,IF('Análisis de Riesgos'!E612='Tablas AR'!$B$5,2,IF('Análisis de Riesgos'!E612='Tablas AR'!$B$6,3,"")))</f>
        <v/>
      </c>
      <c r="G612" s="76"/>
      <c r="H612" s="76" t="str">
        <f>IF(G612='Tablas AR'!$B$10,1,IF('Análisis de Riesgos'!G612='Tablas AR'!$B$11,2,IF('Análisis de Riesgos'!G612='Tablas AR'!$B$12,3,"")))</f>
        <v/>
      </c>
      <c r="I612" s="76">
        <f t="shared" si="1"/>
        <v>0</v>
      </c>
    </row>
    <row r="613" ht="14.25" customHeight="1">
      <c r="B613" s="84" t="str">
        <f t="array" ref="B613">IFERROR(INDEX(Activos!$B$3:$C$16, MATCH(C613,Activos!$B$3:$B$16),2),"")</f>
        <v/>
      </c>
      <c r="C613" s="84"/>
      <c r="D613" s="84"/>
      <c r="E613" s="76"/>
      <c r="F613" s="76" t="str">
        <f>IF(E613='Tablas AR'!$B$4,1,IF('Análisis de Riesgos'!E613='Tablas AR'!$B$5,2,IF('Análisis de Riesgos'!E613='Tablas AR'!$B$6,3,"")))</f>
        <v/>
      </c>
      <c r="G613" s="76"/>
      <c r="H613" s="76" t="str">
        <f>IF(G613='Tablas AR'!$B$10,1,IF('Análisis de Riesgos'!G613='Tablas AR'!$B$11,2,IF('Análisis de Riesgos'!G613='Tablas AR'!$B$12,3,"")))</f>
        <v/>
      </c>
      <c r="I613" s="76">
        <f t="shared" si="1"/>
        <v>0</v>
      </c>
    </row>
    <row r="614" ht="14.25" customHeight="1">
      <c r="B614" s="84" t="str">
        <f t="array" ref="B614">IFERROR(INDEX(Activos!$B$3:$C$16, MATCH(C614,Activos!$B$3:$B$16),2),"")</f>
        <v/>
      </c>
      <c r="C614" s="84"/>
      <c r="D614" s="84"/>
      <c r="E614" s="76"/>
      <c r="F614" s="76" t="str">
        <f>IF(E614='Tablas AR'!$B$4,1,IF('Análisis de Riesgos'!E614='Tablas AR'!$B$5,2,IF('Análisis de Riesgos'!E614='Tablas AR'!$B$6,3,"")))</f>
        <v/>
      </c>
      <c r="G614" s="76"/>
      <c r="H614" s="76" t="str">
        <f>IF(G614='Tablas AR'!$B$10,1,IF('Análisis de Riesgos'!G614='Tablas AR'!$B$11,2,IF('Análisis de Riesgos'!G614='Tablas AR'!$B$12,3,"")))</f>
        <v/>
      </c>
      <c r="I614" s="76">
        <f t="shared" si="1"/>
        <v>0</v>
      </c>
    </row>
    <row r="615" ht="14.25" customHeight="1">
      <c r="B615" s="84" t="str">
        <f t="array" ref="B615">IFERROR(INDEX(Activos!$B$3:$C$16, MATCH(C615,Activos!$B$3:$B$16),2),"")</f>
        <v/>
      </c>
      <c r="C615" s="84"/>
      <c r="D615" s="84"/>
      <c r="E615" s="76"/>
      <c r="F615" s="76" t="str">
        <f>IF(E615='Tablas AR'!$B$4,1,IF('Análisis de Riesgos'!E615='Tablas AR'!$B$5,2,IF('Análisis de Riesgos'!E615='Tablas AR'!$B$6,3,"")))</f>
        <v/>
      </c>
      <c r="G615" s="76"/>
      <c r="H615" s="76" t="str">
        <f>IF(G615='Tablas AR'!$B$10,1,IF('Análisis de Riesgos'!G615='Tablas AR'!$B$11,2,IF('Análisis de Riesgos'!G615='Tablas AR'!$B$12,3,"")))</f>
        <v/>
      </c>
      <c r="I615" s="76">
        <f t="shared" si="1"/>
        <v>0</v>
      </c>
    </row>
    <row r="616" ht="14.25" customHeight="1">
      <c r="B616" s="84" t="str">
        <f t="array" ref="B616">IFERROR(INDEX(Activos!$B$3:$C$16, MATCH(C616,Activos!$B$3:$B$16),2),"")</f>
        <v/>
      </c>
      <c r="C616" s="84"/>
      <c r="D616" s="84"/>
      <c r="E616" s="76"/>
      <c r="F616" s="76" t="str">
        <f>IF(E616='Tablas AR'!$B$4,1,IF('Análisis de Riesgos'!E616='Tablas AR'!$B$5,2,IF('Análisis de Riesgos'!E616='Tablas AR'!$B$6,3,"")))</f>
        <v/>
      </c>
      <c r="G616" s="76"/>
      <c r="H616" s="76" t="str">
        <f>IF(G616='Tablas AR'!$B$10,1,IF('Análisis de Riesgos'!G616='Tablas AR'!$B$11,2,IF('Análisis de Riesgos'!G616='Tablas AR'!$B$12,3,"")))</f>
        <v/>
      </c>
      <c r="I616" s="76">
        <f t="shared" si="1"/>
        <v>0</v>
      </c>
    </row>
    <row r="617" ht="14.25" customHeight="1">
      <c r="B617" s="84" t="str">
        <f t="array" ref="B617">IFERROR(INDEX(Activos!$B$3:$C$16, MATCH(C617,Activos!$B$3:$B$16),2),"")</f>
        <v/>
      </c>
      <c r="C617" s="84"/>
      <c r="D617" s="84"/>
      <c r="E617" s="76"/>
      <c r="F617" s="76" t="str">
        <f>IF(E617='Tablas AR'!$B$4,1,IF('Análisis de Riesgos'!E617='Tablas AR'!$B$5,2,IF('Análisis de Riesgos'!E617='Tablas AR'!$B$6,3,"")))</f>
        <v/>
      </c>
      <c r="G617" s="76"/>
      <c r="H617" s="76" t="str">
        <f>IF(G617='Tablas AR'!$B$10,1,IF('Análisis de Riesgos'!G617='Tablas AR'!$B$11,2,IF('Análisis de Riesgos'!G617='Tablas AR'!$B$12,3,"")))</f>
        <v/>
      </c>
      <c r="I617" s="76">
        <f t="shared" si="1"/>
        <v>0</v>
      </c>
    </row>
    <row r="618" ht="14.25" customHeight="1">
      <c r="B618" s="84" t="str">
        <f t="array" ref="B618">IFERROR(INDEX(Activos!$B$3:$C$16, MATCH(C618,Activos!$B$3:$B$16),2),"")</f>
        <v/>
      </c>
      <c r="C618" s="84"/>
      <c r="D618" s="84"/>
      <c r="E618" s="76"/>
      <c r="F618" s="76" t="str">
        <f>IF(E618='Tablas AR'!$B$4,1,IF('Análisis de Riesgos'!E618='Tablas AR'!$B$5,2,IF('Análisis de Riesgos'!E618='Tablas AR'!$B$6,3,"")))</f>
        <v/>
      </c>
      <c r="G618" s="76"/>
      <c r="H618" s="76" t="str">
        <f>IF(G618='Tablas AR'!$B$10,1,IF('Análisis de Riesgos'!G618='Tablas AR'!$B$11,2,IF('Análisis de Riesgos'!G618='Tablas AR'!$B$12,3,"")))</f>
        <v/>
      </c>
      <c r="I618" s="76">
        <f t="shared" si="1"/>
        <v>0</v>
      </c>
    </row>
    <row r="619" ht="14.25" customHeight="1">
      <c r="B619" s="84" t="str">
        <f t="array" ref="B619">IFERROR(INDEX(Activos!$B$3:$C$16, MATCH(C619,Activos!$B$3:$B$16),2),"")</f>
        <v/>
      </c>
      <c r="C619" s="84"/>
      <c r="D619" s="84"/>
      <c r="E619" s="76"/>
      <c r="F619" s="76" t="str">
        <f>IF(E619='Tablas AR'!$B$4,1,IF('Análisis de Riesgos'!E619='Tablas AR'!$B$5,2,IF('Análisis de Riesgos'!E619='Tablas AR'!$B$6,3,"")))</f>
        <v/>
      </c>
      <c r="G619" s="76"/>
      <c r="H619" s="76" t="str">
        <f>IF(G619='Tablas AR'!$B$10,1,IF('Análisis de Riesgos'!G619='Tablas AR'!$B$11,2,IF('Análisis de Riesgos'!G619='Tablas AR'!$B$12,3,"")))</f>
        <v/>
      </c>
      <c r="I619" s="76">
        <f t="shared" si="1"/>
        <v>0</v>
      </c>
    </row>
    <row r="620" ht="14.25" customHeight="1">
      <c r="B620" s="84" t="str">
        <f t="array" ref="B620">IFERROR(INDEX(Activos!$B$3:$C$16, MATCH(C620,Activos!$B$3:$B$16),2),"")</f>
        <v/>
      </c>
      <c r="C620" s="84"/>
      <c r="D620" s="84"/>
      <c r="E620" s="76"/>
      <c r="F620" s="76" t="str">
        <f>IF(E620='Tablas AR'!$B$4,1,IF('Análisis de Riesgos'!E620='Tablas AR'!$B$5,2,IF('Análisis de Riesgos'!E620='Tablas AR'!$B$6,3,"")))</f>
        <v/>
      </c>
      <c r="G620" s="76"/>
      <c r="H620" s="76" t="str">
        <f>IF(G620='Tablas AR'!$B$10,1,IF('Análisis de Riesgos'!G620='Tablas AR'!$B$11,2,IF('Análisis de Riesgos'!G620='Tablas AR'!$B$12,3,"")))</f>
        <v/>
      </c>
      <c r="I620" s="76">
        <f t="shared" si="1"/>
        <v>0</v>
      </c>
    </row>
    <row r="621" ht="14.25" customHeight="1">
      <c r="B621" s="84" t="str">
        <f t="array" ref="B621">IFERROR(INDEX(Activos!$B$3:$C$16, MATCH(C621,Activos!$B$3:$B$16),2),"")</f>
        <v/>
      </c>
      <c r="C621" s="84"/>
      <c r="D621" s="84"/>
      <c r="E621" s="76"/>
      <c r="F621" s="76" t="str">
        <f>IF(E621='Tablas AR'!$B$4,1,IF('Análisis de Riesgos'!E621='Tablas AR'!$B$5,2,IF('Análisis de Riesgos'!E621='Tablas AR'!$B$6,3,"")))</f>
        <v/>
      </c>
      <c r="G621" s="76"/>
      <c r="H621" s="76" t="str">
        <f>IF(G621='Tablas AR'!$B$10,1,IF('Análisis de Riesgos'!G621='Tablas AR'!$B$11,2,IF('Análisis de Riesgos'!G621='Tablas AR'!$B$12,3,"")))</f>
        <v/>
      </c>
      <c r="I621" s="76">
        <f t="shared" si="1"/>
        <v>0</v>
      </c>
    </row>
    <row r="622" ht="14.25" customHeight="1">
      <c r="B622" s="84" t="str">
        <f t="array" ref="B622">IFERROR(INDEX(Activos!$B$3:$C$16, MATCH(C622,Activos!$B$3:$B$16),2),"")</f>
        <v/>
      </c>
      <c r="C622" s="84"/>
      <c r="D622" s="84"/>
      <c r="E622" s="76"/>
      <c r="F622" s="76" t="str">
        <f>IF(E622='Tablas AR'!$B$4,1,IF('Análisis de Riesgos'!E622='Tablas AR'!$B$5,2,IF('Análisis de Riesgos'!E622='Tablas AR'!$B$6,3,"")))</f>
        <v/>
      </c>
      <c r="G622" s="76"/>
      <c r="H622" s="76" t="str">
        <f>IF(G622='Tablas AR'!$B$10,1,IF('Análisis de Riesgos'!G622='Tablas AR'!$B$11,2,IF('Análisis de Riesgos'!G622='Tablas AR'!$B$12,3,"")))</f>
        <v/>
      </c>
      <c r="I622" s="76">
        <f t="shared" si="1"/>
        <v>0</v>
      </c>
    </row>
    <row r="623" ht="14.25" customHeight="1">
      <c r="B623" s="84" t="str">
        <f t="array" ref="B623">IFERROR(INDEX(Activos!$B$3:$C$16, MATCH(C623,Activos!$B$3:$B$16),2),"")</f>
        <v/>
      </c>
      <c r="C623" s="84"/>
      <c r="D623" s="84"/>
      <c r="E623" s="76"/>
      <c r="F623" s="76" t="str">
        <f>IF(E623='Tablas AR'!$B$4,1,IF('Análisis de Riesgos'!E623='Tablas AR'!$B$5,2,IF('Análisis de Riesgos'!E623='Tablas AR'!$B$6,3,"")))</f>
        <v/>
      </c>
      <c r="G623" s="76"/>
      <c r="H623" s="76" t="str">
        <f>IF(G623='Tablas AR'!$B$10,1,IF('Análisis de Riesgos'!G623='Tablas AR'!$B$11,2,IF('Análisis de Riesgos'!G623='Tablas AR'!$B$12,3,"")))</f>
        <v/>
      </c>
      <c r="I623" s="76">
        <f t="shared" si="1"/>
        <v>0</v>
      </c>
    </row>
    <row r="624" ht="14.25" customHeight="1">
      <c r="B624" s="84" t="str">
        <f t="array" ref="B624">IFERROR(INDEX(Activos!$B$3:$C$16, MATCH(C624,Activos!$B$3:$B$16),2),"")</f>
        <v/>
      </c>
      <c r="C624" s="84"/>
      <c r="D624" s="84"/>
      <c r="E624" s="76"/>
      <c r="F624" s="76" t="str">
        <f>IF(E624='Tablas AR'!$B$4,1,IF('Análisis de Riesgos'!E624='Tablas AR'!$B$5,2,IF('Análisis de Riesgos'!E624='Tablas AR'!$B$6,3,"")))</f>
        <v/>
      </c>
      <c r="G624" s="76"/>
      <c r="H624" s="76" t="str">
        <f>IF(G624='Tablas AR'!$B$10,1,IF('Análisis de Riesgos'!G624='Tablas AR'!$B$11,2,IF('Análisis de Riesgos'!G624='Tablas AR'!$B$12,3,"")))</f>
        <v/>
      </c>
      <c r="I624" s="76">
        <f t="shared" si="1"/>
        <v>0</v>
      </c>
    </row>
    <row r="625" ht="14.25" customHeight="1">
      <c r="B625" s="84" t="str">
        <f t="array" ref="B625">IFERROR(INDEX(Activos!$B$3:$C$16, MATCH(C625,Activos!$B$3:$B$16),2),"")</f>
        <v/>
      </c>
      <c r="C625" s="84"/>
      <c r="D625" s="84"/>
      <c r="E625" s="76"/>
      <c r="F625" s="76" t="str">
        <f>IF(E625='Tablas AR'!$B$4,1,IF('Análisis de Riesgos'!E625='Tablas AR'!$B$5,2,IF('Análisis de Riesgos'!E625='Tablas AR'!$B$6,3,"")))</f>
        <v/>
      </c>
      <c r="G625" s="76"/>
      <c r="H625" s="76" t="str">
        <f>IF(G625='Tablas AR'!$B$10,1,IF('Análisis de Riesgos'!G625='Tablas AR'!$B$11,2,IF('Análisis de Riesgos'!G625='Tablas AR'!$B$12,3,"")))</f>
        <v/>
      </c>
      <c r="I625" s="76">
        <f t="shared" si="1"/>
        <v>0</v>
      </c>
    </row>
    <row r="626" ht="14.25" customHeight="1">
      <c r="B626" s="84" t="str">
        <f t="array" ref="B626">IFERROR(INDEX(Activos!$B$3:$C$16, MATCH(C626,Activos!$B$3:$B$16),2),"")</f>
        <v/>
      </c>
      <c r="C626" s="84"/>
      <c r="D626" s="84"/>
      <c r="E626" s="76"/>
      <c r="F626" s="76" t="str">
        <f>IF(E626='Tablas AR'!$B$4,1,IF('Análisis de Riesgos'!E626='Tablas AR'!$B$5,2,IF('Análisis de Riesgos'!E626='Tablas AR'!$B$6,3,"")))</f>
        <v/>
      </c>
      <c r="G626" s="76"/>
      <c r="H626" s="76" t="str">
        <f>IF(G626='Tablas AR'!$B$10,1,IF('Análisis de Riesgos'!G626='Tablas AR'!$B$11,2,IF('Análisis de Riesgos'!G626='Tablas AR'!$B$12,3,"")))</f>
        <v/>
      </c>
      <c r="I626" s="76">
        <f t="shared" si="1"/>
        <v>0</v>
      </c>
    </row>
    <row r="627" ht="14.25" customHeight="1">
      <c r="B627" s="84" t="str">
        <f t="array" ref="B627">IFERROR(INDEX(Activos!$B$3:$C$16, MATCH(C627,Activos!$B$3:$B$16),2),"")</f>
        <v/>
      </c>
      <c r="C627" s="84"/>
      <c r="D627" s="84"/>
      <c r="E627" s="76"/>
      <c r="F627" s="76" t="str">
        <f>IF(E627='Tablas AR'!$B$4,1,IF('Análisis de Riesgos'!E627='Tablas AR'!$B$5,2,IF('Análisis de Riesgos'!E627='Tablas AR'!$B$6,3,"")))</f>
        <v/>
      </c>
      <c r="G627" s="76"/>
      <c r="H627" s="76" t="str">
        <f>IF(G627='Tablas AR'!$B$10,1,IF('Análisis de Riesgos'!G627='Tablas AR'!$B$11,2,IF('Análisis de Riesgos'!G627='Tablas AR'!$B$12,3,"")))</f>
        <v/>
      </c>
      <c r="I627" s="76">
        <f t="shared" si="1"/>
        <v>0</v>
      </c>
    </row>
    <row r="628" ht="14.25" customHeight="1">
      <c r="B628" s="84" t="str">
        <f t="array" ref="B628">IFERROR(INDEX(Activos!$B$3:$C$16, MATCH(C628,Activos!$B$3:$B$16),2),"")</f>
        <v/>
      </c>
      <c r="C628" s="84"/>
      <c r="D628" s="84"/>
      <c r="E628" s="76"/>
      <c r="F628" s="76" t="str">
        <f>IF(E628='Tablas AR'!$B$4,1,IF('Análisis de Riesgos'!E628='Tablas AR'!$B$5,2,IF('Análisis de Riesgos'!E628='Tablas AR'!$B$6,3,"")))</f>
        <v/>
      </c>
      <c r="G628" s="76"/>
      <c r="H628" s="76" t="str">
        <f>IF(G628='Tablas AR'!$B$10,1,IF('Análisis de Riesgos'!G628='Tablas AR'!$B$11,2,IF('Análisis de Riesgos'!G628='Tablas AR'!$B$12,3,"")))</f>
        <v/>
      </c>
      <c r="I628" s="76">
        <f t="shared" si="1"/>
        <v>0</v>
      </c>
    </row>
    <row r="629" ht="14.25" customHeight="1">
      <c r="B629" s="84" t="str">
        <f t="array" ref="B629">IFERROR(INDEX(Activos!$B$3:$C$16, MATCH(C629,Activos!$B$3:$B$16),2),"")</f>
        <v/>
      </c>
      <c r="C629" s="84"/>
      <c r="D629" s="84"/>
      <c r="E629" s="76"/>
      <c r="F629" s="76" t="str">
        <f>IF(E629='Tablas AR'!$B$4,1,IF('Análisis de Riesgos'!E629='Tablas AR'!$B$5,2,IF('Análisis de Riesgos'!E629='Tablas AR'!$B$6,3,"")))</f>
        <v/>
      </c>
      <c r="G629" s="76"/>
      <c r="H629" s="76" t="str">
        <f>IF(G629='Tablas AR'!$B$10,1,IF('Análisis de Riesgos'!G629='Tablas AR'!$B$11,2,IF('Análisis de Riesgos'!G629='Tablas AR'!$B$12,3,"")))</f>
        <v/>
      </c>
      <c r="I629" s="76">
        <f t="shared" si="1"/>
        <v>0</v>
      </c>
    </row>
    <row r="630" ht="14.25" customHeight="1">
      <c r="B630" s="84" t="str">
        <f t="array" ref="B630">IFERROR(INDEX(Activos!$B$3:$C$16, MATCH(C630,Activos!$B$3:$B$16),2),"")</f>
        <v/>
      </c>
      <c r="C630" s="84"/>
      <c r="D630" s="84"/>
      <c r="E630" s="76"/>
      <c r="F630" s="76" t="str">
        <f>IF(E630='Tablas AR'!$B$4,1,IF('Análisis de Riesgos'!E630='Tablas AR'!$B$5,2,IF('Análisis de Riesgos'!E630='Tablas AR'!$B$6,3,"")))</f>
        <v/>
      </c>
      <c r="G630" s="76"/>
      <c r="H630" s="76" t="str">
        <f>IF(G630='Tablas AR'!$B$10,1,IF('Análisis de Riesgos'!G630='Tablas AR'!$B$11,2,IF('Análisis de Riesgos'!G630='Tablas AR'!$B$12,3,"")))</f>
        <v/>
      </c>
      <c r="I630" s="76">
        <f t="shared" si="1"/>
        <v>0</v>
      </c>
    </row>
    <row r="631" ht="14.25" customHeight="1">
      <c r="B631" s="84" t="str">
        <f t="array" ref="B631">IFERROR(INDEX(Activos!$B$3:$C$16, MATCH(C631,Activos!$B$3:$B$16),2),"")</f>
        <v/>
      </c>
      <c r="C631" s="84"/>
      <c r="D631" s="84"/>
      <c r="E631" s="76"/>
      <c r="F631" s="76" t="str">
        <f>IF(E631='Tablas AR'!$B$4,1,IF('Análisis de Riesgos'!E631='Tablas AR'!$B$5,2,IF('Análisis de Riesgos'!E631='Tablas AR'!$B$6,3,"")))</f>
        <v/>
      </c>
      <c r="G631" s="76"/>
      <c r="H631" s="76" t="str">
        <f>IF(G631='Tablas AR'!$B$10,1,IF('Análisis de Riesgos'!G631='Tablas AR'!$B$11,2,IF('Análisis de Riesgos'!G631='Tablas AR'!$B$12,3,"")))</f>
        <v/>
      </c>
      <c r="I631" s="76">
        <f t="shared" si="1"/>
        <v>0</v>
      </c>
    </row>
    <row r="632" ht="14.25" customHeight="1">
      <c r="B632" s="84" t="str">
        <f t="array" ref="B632">IFERROR(INDEX(Activos!$B$3:$C$16, MATCH(C632,Activos!$B$3:$B$16),2),"")</f>
        <v/>
      </c>
      <c r="C632" s="84"/>
      <c r="D632" s="84"/>
      <c r="E632" s="76"/>
      <c r="F632" s="76" t="str">
        <f>IF(E632='Tablas AR'!$B$4,1,IF('Análisis de Riesgos'!E632='Tablas AR'!$B$5,2,IF('Análisis de Riesgos'!E632='Tablas AR'!$B$6,3,"")))</f>
        <v/>
      </c>
      <c r="G632" s="76"/>
      <c r="H632" s="76" t="str">
        <f>IF(G632='Tablas AR'!$B$10,1,IF('Análisis de Riesgos'!G632='Tablas AR'!$B$11,2,IF('Análisis de Riesgos'!G632='Tablas AR'!$B$12,3,"")))</f>
        <v/>
      </c>
      <c r="I632" s="76">
        <f t="shared" si="1"/>
        <v>0</v>
      </c>
    </row>
    <row r="633" ht="14.25" customHeight="1">
      <c r="B633" s="84" t="str">
        <f t="array" ref="B633">IFERROR(INDEX(Activos!$B$3:$C$16, MATCH(C633,Activos!$B$3:$B$16),2),"")</f>
        <v/>
      </c>
      <c r="C633" s="84"/>
      <c r="D633" s="84"/>
      <c r="E633" s="76"/>
      <c r="F633" s="76" t="str">
        <f>IF(E633='Tablas AR'!$B$4,1,IF('Análisis de Riesgos'!E633='Tablas AR'!$B$5,2,IF('Análisis de Riesgos'!E633='Tablas AR'!$B$6,3,"")))</f>
        <v/>
      </c>
      <c r="G633" s="76"/>
      <c r="H633" s="76" t="str">
        <f>IF(G633='Tablas AR'!$B$10,1,IF('Análisis de Riesgos'!G633='Tablas AR'!$B$11,2,IF('Análisis de Riesgos'!G633='Tablas AR'!$B$12,3,"")))</f>
        <v/>
      </c>
      <c r="I633" s="76">
        <f t="shared" si="1"/>
        <v>0</v>
      </c>
    </row>
    <row r="634" ht="14.25" customHeight="1">
      <c r="B634" s="84" t="str">
        <f t="array" ref="B634">IFERROR(INDEX(Activos!$B$3:$C$16, MATCH(C634,Activos!$B$3:$B$16),2),"")</f>
        <v/>
      </c>
      <c r="C634" s="84"/>
      <c r="D634" s="84"/>
      <c r="E634" s="76"/>
      <c r="F634" s="76" t="str">
        <f>IF(E634='Tablas AR'!$B$4,1,IF('Análisis de Riesgos'!E634='Tablas AR'!$B$5,2,IF('Análisis de Riesgos'!E634='Tablas AR'!$B$6,3,"")))</f>
        <v/>
      </c>
      <c r="G634" s="76"/>
      <c r="H634" s="76" t="str">
        <f>IF(G634='Tablas AR'!$B$10,1,IF('Análisis de Riesgos'!G634='Tablas AR'!$B$11,2,IF('Análisis de Riesgos'!G634='Tablas AR'!$B$12,3,"")))</f>
        <v/>
      </c>
      <c r="I634" s="76">
        <f t="shared" si="1"/>
        <v>0</v>
      </c>
    </row>
    <row r="635" ht="14.25" customHeight="1">
      <c r="B635" s="84" t="str">
        <f t="array" ref="B635">IFERROR(INDEX(Activos!$B$3:$C$16, MATCH(C635,Activos!$B$3:$B$16),2),"")</f>
        <v/>
      </c>
      <c r="C635" s="84"/>
      <c r="D635" s="84"/>
      <c r="E635" s="76"/>
      <c r="F635" s="76" t="str">
        <f>IF(E635='Tablas AR'!$B$4,1,IF('Análisis de Riesgos'!E635='Tablas AR'!$B$5,2,IF('Análisis de Riesgos'!E635='Tablas AR'!$B$6,3,"")))</f>
        <v/>
      </c>
      <c r="G635" s="76"/>
      <c r="H635" s="76" t="str">
        <f>IF(G635='Tablas AR'!$B$10,1,IF('Análisis de Riesgos'!G635='Tablas AR'!$B$11,2,IF('Análisis de Riesgos'!G635='Tablas AR'!$B$12,3,"")))</f>
        <v/>
      </c>
      <c r="I635" s="76">
        <f t="shared" si="1"/>
        <v>0</v>
      </c>
    </row>
    <row r="636" ht="14.25" customHeight="1">
      <c r="B636" s="84" t="str">
        <f t="array" ref="B636">IFERROR(INDEX(Activos!$B$3:$C$16, MATCH(C636,Activos!$B$3:$B$16),2),"")</f>
        <v/>
      </c>
      <c r="C636" s="84"/>
      <c r="D636" s="84"/>
      <c r="E636" s="76"/>
      <c r="F636" s="76" t="str">
        <f>IF(E636='Tablas AR'!$B$4,1,IF('Análisis de Riesgos'!E636='Tablas AR'!$B$5,2,IF('Análisis de Riesgos'!E636='Tablas AR'!$B$6,3,"")))</f>
        <v/>
      </c>
      <c r="G636" s="76"/>
      <c r="H636" s="76" t="str">
        <f>IF(G636='Tablas AR'!$B$10,1,IF('Análisis de Riesgos'!G636='Tablas AR'!$B$11,2,IF('Análisis de Riesgos'!G636='Tablas AR'!$B$12,3,"")))</f>
        <v/>
      </c>
      <c r="I636" s="76">
        <f t="shared" si="1"/>
        <v>0</v>
      </c>
    </row>
    <row r="637" ht="14.25" customHeight="1">
      <c r="B637" s="84" t="str">
        <f t="array" ref="B637">IFERROR(INDEX(Activos!$B$3:$C$16, MATCH(C637,Activos!$B$3:$B$16),2),"")</f>
        <v/>
      </c>
      <c r="C637" s="84"/>
      <c r="D637" s="84"/>
      <c r="E637" s="76"/>
      <c r="F637" s="76" t="str">
        <f>IF(E637='Tablas AR'!$B$4,1,IF('Análisis de Riesgos'!E637='Tablas AR'!$B$5,2,IF('Análisis de Riesgos'!E637='Tablas AR'!$B$6,3,"")))</f>
        <v/>
      </c>
      <c r="G637" s="76"/>
      <c r="H637" s="76" t="str">
        <f>IF(G637='Tablas AR'!$B$10,1,IF('Análisis de Riesgos'!G637='Tablas AR'!$B$11,2,IF('Análisis de Riesgos'!G637='Tablas AR'!$B$12,3,"")))</f>
        <v/>
      </c>
      <c r="I637" s="76">
        <f t="shared" si="1"/>
        <v>0</v>
      </c>
    </row>
    <row r="638" ht="14.25" customHeight="1">
      <c r="B638" s="84" t="str">
        <f t="array" ref="B638">IFERROR(INDEX(Activos!$B$3:$C$16, MATCH(C638,Activos!$B$3:$B$16),2),"")</f>
        <v/>
      </c>
      <c r="C638" s="84"/>
      <c r="D638" s="84"/>
      <c r="E638" s="76"/>
      <c r="F638" s="76" t="str">
        <f>IF(E638='Tablas AR'!$B$4,1,IF('Análisis de Riesgos'!E638='Tablas AR'!$B$5,2,IF('Análisis de Riesgos'!E638='Tablas AR'!$B$6,3,"")))</f>
        <v/>
      </c>
      <c r="G638" s="76"/>
      <c r="H638" s="76" t="str">
        <f>IF(G638='Tablas AR'!$B$10,1,IF('Análisis de Riesgos'!G638='Tablas AR'!$B$11,2,IF('Análisis de Riesgos'!G638='Tablas AR'!$B$12,3,"")))</f>
        <v/>
      </c>
      <c r="I638" s="76">
        <f t="shared" si="1"/>
        <v>0</v>
      </c>
    </row>
    <row r="639" ht="14.25" customHeight="1">
      <c r="B639" s="84" t="str">
        <f t="array" ref="B639">IFERROR(INDEX(Activos!$B$3:$C$16, MATCH(C639,Activos!$B$3:$B$16),2),"")</f>
        <v/>
      </c>
      <c r="C639" s="84"/>
      <c r="D639" s="84"/>
      <c r="E639" s="76"/>
      <c r="F639" s="76" t="str">
        <f>IF(E639='Tablas AR'!$B$4,1,IF('Análisis de Riesgos'!E639='Tablas AR'!$B$5,2,IF('Análisis de Riesgos'!E639='Tablas AR'!$B$6,3,"")))</f>
        <v/>
      </c>
      <c r="G639" s="76"/>
      <c r="H639" s="76" t="str">
        <f>IF(G639='Tablas AR'!$B$10,1,IF('Análisis de Riesgos'!G639='Tablas AR'!$B$11,2,IF('Análisis de Riesgos'!G639='Tablas AR'!$B$12,3,"")))</f>
        <v/>
      </c>
      <c r="I639" s="76">
        <f t="shared" si="1"/>
        <v>0</v>
      </c>
    </row>
    <row r="640" ht="14.25" customHeight="1">
      <c r="B640" s="84" t="str">
        <f t="array" ref="B640">IFERROR(INDEX(Activos!$B$3:$C$16, MATCH(C640,Activos!$B$3:$B$16),2),"")</f>
        <v/>
      </c>
      <c r="C640" s="84"/>
      <c r="D640" s="84"/>
      <c r="E640" s="76"/>
      <c r="F640" s="76" t="str">
        <f>IF(E640='Tablas AR'!$B$4,1,IF('Análisis de Riesgos'!E640='Tablas AR'!$B$5,2,IF('Análisis de Riesgos'!E640='Tablas AR'!$B$6,3,"")))</f>
        <v/>
      </c>
      <c r="G640" s="76"/>
      <c r="H640" s="76" t="str">
        <f>IF(G640='Tablas AR'!$B$10,1,IF('Análisis de Riesgos'!G640='Tablas AR'!$B$11,2,IF('Análisis de Riesgos'!G640='Tablas AR'!$B$12,3,"")))</f>
        <v/>
      </c>
      <c r="I640" s="76">
        <f t="shared" si="1"/>
        <v>0</v>
      </c>
    </row>
    <row r="641" ht="14.25" customHeight="1">
      <c r="B641" s="84" t="str">
        <f t="array" ref="B641">IFERROR(INDEX(Activos!$B$3:$C$16, MATCH(C641,Activos!$B$3:$B$16),2),"")</f>
        <v/>
      </c>
      <c r="C641" s="84"/>
      <c r="D641" s="84"/>
      <c r="E641" s="76"/>
      <c r="F641" s="76" t="str">
        <f>IF(E641='Tablas AR'!$B$4,1,IF('Análisis de Riesgos'!E641='Tablas AR'!$B$5,2,IF('Análisis de Riesgos'!E641='Tablas AR'!$B$6,3,"")))</f>
        <v/>
      </c>
      <c r="G641" s="76"/>
      <c r="H641" s="76" t="str">
        <f>IF(G641='Tablas AR'!$B$10,1,IF('Análisis de Riesgos'!G641='Tablas AR'!$B$11,2,IF('Análisis de Riesgos'!G641='Tablas AR'!$B$12,3,"")))</f>
        <v/>
      </c>
      <c r="I641" s="76">
        <f t="shared" si="1"/>
        <v>0</v>
      </c>
    </row>
    <row r="642" ht="14.25" customHeight="1">
      <c r="B642" s="84" t="str">
        <f t="array" ref="B642">IFERROR(INDEX(Activos!$B$3:$C$16, MATCH(C642,Activos!$B$3:$B$16),2),"")</f>
        <v/>
      </c>
      <c r="C642" s="84"/>
      <c r="D642" s="84"/>
      <c r="E642" s="76"/>
      <c r="F642" s="76" t="str">
        <f>IF(E642='Tablas AR'!$B$4,1,IF('Análisis de Riesgos'!E642='Tablas AR'!$B$5,2,IF('Análisis de Riesgos'!E642='Tablas AR'!$B$6,3,"")))</f>
        <v/>
      </c>
      <c r="G642" s="76"/>
      <c r="H642" s="76" t="str">
        <f>IF(G642='Tablas AR'!$B$10,1,IF('Análisis de Riesgos'!G642='Tablas AR'!$B$11,2,IF('Análisis de Riesgos'!G642='Tablas AR'!$B$12,3,"")))</f>
        <v/>
      </c>
      <c r="I642" s="76">
        <f t="shared" si="1"/>
        <v>0</v>
      </c>
    </row>
    <row r="643" ht="14.25" customHeight="1">
      <c r="B643" s="84" t="str">
        <f t="array" ref="B643">IFERROR(INDEX(Activos!$B$3:$C$16, MATCH(C643,Activos!$B$3:$B$16),2),"")</f>
        <v/>
      </c>
      <c r="C643" s="84"/>
      <c r="D643" s="84"/>
      <c r="E643" s="76"/>
      <c r="F643" s="76" t="str">
        <f>IF(E643='Tablas AR'!$B$4,1,IF('Análisis de Riesgos'!E643='Tablas AR'!$B$5,2,IF('Análisis de Riesgos'!E643='Tablas AR'!$B$6,3,"")))</f>
        <v/>
      </c>
      <c r="G643" s="76"/>
      <c r="H643" s="76" t="str">
        <f>IF(G643='Tablas AR'!$B$10,1,IF('Análisis de Riesgos'!G643='Tablas AR'!$B$11,2,IF('Análisis de Riesgos'!G643='Tablas AR'!$B$12,3,"")))</f>
        <v/>
      </c>
      <c r="I643" s="76">
        <f t="shared" si="1"/>
        <v>0</v>
      </c>
    </row>
    <row r="644" ht="14.25" customHeight="1">
      <c r="B644" s="84" t="str">
        <f t="array" ref="B644">IFERROR(INDEX(Activos!$B$3:$C$16, MATCH(C644,Activos!$B$3:$B$16),2),"")</f>
        <v/>
      </c>
      <c r="C644" s="84"/>
      <c r="D644" s="84"/>
      <c r="E644" s="76"/>
      <c r="F644" s="76" t="str">
        <f>IF(E644='Tablas AR'!$B$4,1,IF('Análisis de Riesgos'!E644='Tablas AR'!$B$5,2,IF('Análisis de Riesgos'!E644='Tablas AR'!$B$6,3,"")))</f>
        <v/>
      </c>
      <c r="G644" s="76"/>
      <c r="H644" s="76" t="str">
        <f>IF(G644='Tablas AR'!$B$10,1,IF('Análisis de Riesgos'!G644='Tablas AR'!$B$11,2,IF('Análisis de Riesgos'!G644='Tablas AR'!$B$12,3,"")))</f>
        <v/>
      </c>
      <c r="I644" s="76">
        <f t="shared" si="1"/>
        <v>0</v>
      </c>
    </row>
    <row r="645" ht="14.25" customHeight="1">
      <c r="B645" s="84" t="str">
        <f t="array" ref="B645">IFERROR(INDEX(Activos!$B$3:$C$16, MATCH(C645,Activos!$B$3:$B$16),2),"")</f>
        <v/>
      </c>
      <c r="C645" s="84"/>
      <c r="D645" s="84"/>
      <c r="E645" s="76"/>
      <c r="F645" s="76" t="str">
        <f>IF(E645='Tablas AR'!$B$4,1,IF('Análisis de Riesgos'!E645='Tablas AR'!$B$5,2,IF('Análisis de Riesgos'!E645='Tablas AR'!$B$6,3,"")))</f>
        <v/>
      </c>
      <c r="G645" s="76"/>
      <c r="H645" s="76" t="str">
        <f>IF(G645='Tablas AR'!$B$10,1,IF('Análisis de Riesgos'!G645='Tablas AR'!$B$11,2,IF('Análisis de Riesgos'!G645='Tablas AR'!$B$12,3,"")))</f>
        <v/>
      </c>
      <c r="I645" s="76">
        <f t="shared" si="1"/>
        <v>0</v>
      </c>
    </row>
    <row r="646" ht="14.25" customHeight="1">
      <c r="B646" s="84" t="str">
        <f t="array" ref="B646">IFERROR(INDEX(Activos!$B$3:$C$16, MATCH(C646,Activos!$B$3:$B$16),2),"")</f>
        <v/>
      </c>
      <c r="C646" s="84"/>
      <c r="D646" s="84"/>
      <c r="E646" s="76"/>
      <c r="F646" s="76" t="str">
        <f>IF(E646='Tablas AR'!$B$4,1,IF('Análisis de Riesgos'!E646='Tablas AR'!$B$5,2,IF('Análisis de Riesgos'!E646='Tablas AR'!$B$6,3,"")))</f>
        <v/>
      </c>
      <c r="G646" s="76"/>
      <c r="H646" s="76" t="str">
        <f>IF(G646='Tablas AR'!$B$10,1,IF('Análisis de Riesgos'!G646='Tablas AR'!$B$11,2,IF('Análisis de Riesgos'!G646='Tablas AR'!$B$12,3,"")))</f>
        <v/>
      </c>
      <c r="I646" s="76">
        <f t="shared" si="1"/>
        <v>0</v>
      </c>
    </row>
    <row r="647" ht="14.25" customHeight="1">
      <c r="B647" s="84" t="str">
        <f t="array" ref="B647">IFERROR(INDEX(Activos!$B$3:$C$16, MATCH(C647,Activos!$B$3:$B$16),2),"")</f>
        <v/>
      </c>
      <c r="C647" s="84"/>
      <c r="D647" s="84"/>
      <c r="E647" s="76"/>
      <c r="F647" s="76" t="str">
        <f>IF(E647='Tablas AR'!$B$4,1,IF('Análisis de Riesgos'!E647='Tablas AR'!$B$5,2,IF('Análisis de Riesgos'!E647='Tablas AR'!$B$6,3,"")))</f>
        <v/>
      </c>
      <c r="G647" s="76"/>
      <c r="H647" s="76" t="str">
        <f>IF(G647='Tablas AR'!$B$10,1,IF('Análisis de Riesgos'!G647='Tablas AR'!$B$11,2,IF('Análisis de Riesgos'!G647='Tablas AR'!$B$12,3,"")))</f>
        <v/>
      </c>
      <c r="I647" s="76">
        <f t="shared" si="1"/>
        <v>0</v>
      </c>
    </row>
    <row r="648" ht="14.25" customHeight="1">
      <c r="B648" s="84" t="str">
        <f t="array" ref="B648">IFERROR(INDEX(Activos!$B$3:$C$16, MATCH(C648,Activos!$B$3:$B$16),2),"")</f>
        <v/>
      </c>
      <c r="C648" s="84"/>
      <c r="D648" s="84"/>
      <c r="E648" s="76"/>
      <c r="F648" s="76" t="str">
        <f>IF(E648='Tablas AR'!$B$4,1,IF('Análisis de Riesgos'!E648='Tablas AR'!$B$5,2,IF('Análisis de Riesgos'!E648='Tablas AR'!$B$6,3,"")))</f>
        <v/>
      </c>
      <c r="G648" s="76"/>
      <c r="H648" s="76" t="str">
        <f>IF(G648='Tablas AR'!$B$10,1,IF('Análisis de Riesgos'!G648='Tablas AR'!$B$11,2,IF('Análisis de Riesgos'!G648='Tablas AR'!$B$12,3,"")))</f>
        <v/>
      </c>
      <c r="I648" s="76">
        <f t="shared" si="1"/>
        <v>0</v>
      </c>
    </row>
    <row r="649" ht="14.25" customHeight="1">
      <c r="B649" s="84" t="str">
        <f t="array" ref="B649">IFERROR(INDEX(Activos!$B$3:$C$16, MATCH(C649,Activos!$B$3:$B$16),2),"")</f>
        <v/>
      </c>
      <c r="C649" s="84"/>
      <c r="D649" s="84"/>
      <c r="E649" s="76"/>
      <c r="F649" s="76" t="str">
        <f>IF(E649='Tablas AR'!$B$4,1,IF('Análisis de Riesgos'!E649='Tablas AR'!$B$5,2,IF('Análisis de Riesgos'!E649='Tablas AR'!$B$6,3,"")))</f>
        <v/>
      </c>
      <c r="G649" s="76"/>
      <c r="H649" s="76" t="str">
        <f>IF(G649='Tablas AR'!$B$10,1,IF('Análisis de Riesgos'!G649='Tablas AR'!$B$11,2,IF('Análisis de Riesgos'!G649='Tablas AR'!$B$12,3,"")))</f>
        <v/>
      </c>
      <c r="I649" s="76">
        <f t="shared" si="1"/>
        <v>0</v>
      </c>
    </row>
    <row r="650" ht="14.25" customHeight="1">
      <c r="B650" s="84" t="str">
        <f t="array" ref="B650">IFERROR(INDEX(Activos!$B$3:$C$16, MATCH(C650,Activos!$B$3:$B$16),2),"")</f>
        <v/>
      </c>
      <c r="C650" s="84"/>
      <c r="D650" s="84"/>
      <c r="E650" s="76"/>
      <c r="F650" s="76" t="str">
        <f>IF(E650='Tablas AR'!$B$4,1,IF('Análisis de Riesgos'!E650='Tablas AR'!$B$5,2,IF('Análisis de Riesgos'!E650='Tablas AR'!$B$6,3,"")))</f>
        <v/>
      </c>
      <c r="G650" s="76"/>
      <c r="H650" s="76" t="str">
        <f>IF(G650='Tablas AR'!$B$10,1,IF('Análisis de Riesgos'!G650='Tablas AR'!$B$11,2,IF('Análisis de Riesgos'!G650='Tablas AR'!$B$12,3,"")))</f>
        <v/>
      </c>
      <c r="I650" s="76">
        <f t="shared" si="1"/>
        <v>0</v>
      </c>
    </row>
    <row r="651" ht="14.25" customHeight="1">
      <c r="B651" s="84" t="str">
        <f t="array" ref="B651">IFERROR(INDEX(Activos!$B$3:$C$16, MATCH(C651,Activos!$B$3:$B$16),2),"")</f>
        <v/>
      </c>
      <c r="C651" s="84"/>
      <c r="D651" s="84"/>
      <c r="E651" s="76"/>
      <c r="F651" s="76" t="str">
        <f>IF(E651='Tablas AR'!$B$4,1,IF('Análisis de Riesgos'!E651='Tablas AR'!$B$5,2,IF('Análisis de Riesgos'!E651='Tablas AR'!$B$6,3,"")))</f>
        <v/>
      </c>
      <c r="G651" s="76"/>
      <c r="H651" s="76" t="str">
        <f>IF(G651='Tablas AR'!$B$10,1,IF('Análisis de Riesgos'!G651='Tablas AR'!$B$11,2,IF('Análisis de Riesgos'!G651='Tablas AR'!$B$12,3,"")))</f>
        <v/>
      </c>
      <c r="I651" s="76">
        <f t="shared" si="1"/>
        <v>0</v>
      </c>
    </row>
    <row r="652" ht="14.25" customHeight="1">
      <c r="B652" s="84" t="str">
        <f t="array" ref="B652">IFERROR(INDEX(Activos!$B$3:$C$16, MATCH(C652,Activos!$B$3:$B$16),2),"")</f>
        <v/>
      </c>
      <c r="C652" s="84"/>
      <c r="D652" s="84"/>
      <c r="E652" s="76"/>
      <c r="F652" s="76" t="str">
        <f>IF(E652='Tablas AR'!$B$4,1,IF('Análisis de Riesgos'!E652='Tablas AR'!$B$5,2,IF('Análisis de Riesgos'!E652='Tablas AR'!$B$6,3,"")))</f>
        <v/>
      </c>
      <c r="G652" s="76"/>
      <c r="H652" s="76" t="str">
        <f>IF(G652='Tablas AR'!$B$10,1,IF('Análisis de Riesgos'!G652='Tablas AR'!$B$11,2,IF('Análisis de Riesgos'!G652='Tablas AR'!$B$12,3,"")))</f>
        <v/>
      </c>
      <c r="I652" s="76">
        <f t="shared" si="1"/>
        <v>0</v>
      </c>
    </row>
    <row r="653" ht="14.25" customHeight="1">
      <c r="B653" s="84" t="str">
        <f t="array" ref="B653">IFERROR(INDEX(Activos!$B$3:$C$16, MATCH(C653,Activos!$B$3:$B$16),2),"")</f>
        <v/>
      </c>
      <c r="C653" s="84"/>
      <c r="D653" s="84"/>
      <c r="E653" s="76"/>
      <c r="F653" s="76" t="str">
        <f>IF(E653='Tablas AR'!$B$4,1,IF('Análisis de Riesgos'!E653='Tablas AR'!$B$5,2,IF('Análisis de Riesgos'!E653='Tablas AR'!$B$6,3,"")))</f>
        <v/>
      </c>
      <c r="G653" s="76"/>
      <c r="H653" s="76" t="str">
        <f>IF(G653='Tablas AR'!$B$10,1,IF('Análisis de Riesgos'!G653='Tablas AR'!$B$11,2,IF('Análisis de Riesgos'!G653='Tablas AR'!$B$12,3,"")))</f>
        <v/>
      </c>
      <c r="I653" s="76">
        <f t="shared" si="1"/>
        <v>0</v>
      </c>
    </row>
    <row r="654" ht="14.25" customHeight="1">
      <c r="B654" s="84" t="str">
        <f t="array" ref="B654">IFERROR(INDEX(Activos!$B$3:$C$16, MATCH(C654,Activos!$B$3:$B$16),2),"")</f>
        <v/>
      </c>
      <c r="C654" s="84"/>
      <c r="D654" s="84"/>
      <c r="E654" s="76"/>
      <c r="F654" s="76" t="str">
        <f>IF(E654='Tablas AR'!$B$4,1,IF('Análisis de Riesgos'!E654='Tablas AR'!$B$5,2,IF('Análisis de Riesgos'!E654='Tablas AR'!$B$6,3,"")))</f>
        <v/>
      </c>
      <c r="G654" s="76"/>
      <c r="H654" s="76" t="str">
        <f>IF(G654='Tablas AR'!$B$10,1,IF('Análisis de Riesgos'!G654='Tablas AR'!$B$11,2,IF('Análisis de Riesgos'!G654='Tablas AR'!$B$12,3,"")))</f>
        <v/>
      </c>
      <c r="I654" s="76">
        <f t="shared" si="1"/>
        <v>0</v>
      </c>
    </row>
    <row r="655" ht="14.25" customHeight="1">
      <c r="B655" s="84" t="str">
        <f t="array" ref="B655">IFERROR(INDEX(Activos!$B$3:$C$16, MATCH(C655,Activos!$B$3:$B$16),2),"")</f>
        <v/>
      </c>
      <c r="C655" s="84"/>
      <c r="D655" s="84"/>
      <c r="E655" s="76"/>
      <c r="F655" s="76" t="str">
        <f>IF(E655='Tablas AR'!$B$4,1,IF('Análisis de Riesgos'!E655='Tablas AR'!$B$5,2,IF('Análisis de Riesgos'!E655='Tablas AR'!$B$6,3,"")))</f>
        <v/>
      </c>
      <c r="G655" s="76"/>
      <c r="H655" s="76" t="str">
        <f>IF(G655='Tablas AR'!$B$10,1,IF('Análisis de Riesgos'!G655='Tablas AR'!$B$11,2,IF('Análisis de Riesgos'!G655='Tablas AR'!$B$12,3,"")))</f>
        <v/>
      </c>
      <c r="I655" s="76">
        <f t="shared" si="1"/>
        <v>0</v>
      </c>
    </row>
    <row r="656" ht="14.25" customHeight="1">
      <c r="B656" s="84" t="str">
        <f t="array" ref="B656">IFERROR(INDEX(Activos!$B$3:$C$16, MATCH(C656,Activos!$B$3:$B$16),2),"")</f>
        <v/>
      </c>
      <c r="C656" s="84"/>
      <c r="D656" s="84"/>
      <c r="E656" s="76"/>
      <c r="F656" s="76" t="str">
        <f>IF(E656='Tablas AR'!$B$4,1,IF('Análisis de Riesgos'!E656='Tablas AR'!$B$5,2,IF('Análisis de Riesgos'!E656='Tablas AR'!$B$6,3,"")))</f>
        <v/>
      </c>
      <c r="G656" s="76"/>
      <c r="H656" s="76" t="str">
        <f>IF(G656='Tablas AR'!$B$10,1,IF('Análisis de Riesgos'!G656='Tablas AR'!$B$11,2,IF('Análisis de Riesgos'!G656='Tablas AR'!$B$12,3,"")))</f>
        <v/>
      </c>
      <c r="I656" s="76">
        <f t="shared" si="1"/>
        <v>0</v>
      </c>
    </row>
    <row r="657" ht="14.25" customHeight="1">
      <c r="B657" s="84" t="str">
        <f t="array" ref="B657">IFERROR(INDEX(Activos!$B$3:$C$16, MATCH(C657,Activos!$B$3:$B$16),2),"")</f>
        <v/>
      </c>
      <c r="C657" s="84"/>
      <c r="D657" s="84"/>
      <c r="E657" s="76"/>
      <c r="F657" s="76" t="str">
        <f>IF(E657='Tablas AR'!$B$4,1,IF('Análisis de Riesgos'!E657='Tablas AR'!$B$5,2,IF('Análisis de Riesgos'!E657='Tablas AR'!$B$6,3,"")))</f>
        <v/>
      </c>
      <c r="G657" s="76"/>
      <c r="H657" s="76" t="str">
        <f>IF(G657='Tablas AR'!$B$10,1,IF('Análisis de Riesgos'!G657='Tablas AR'!$B$11,2,IF('Análisis de Riesgos'!G657='Tablas AR'!$B$12,3,"")))</f>
        <v/>
      </c>
      <c r="I657" s="76">
        <f t="shared" si="1"/>
        <v>0</v>
      </c>
    </row>
    <row r="658" ht="14.25" customHeight="1">
      <c r="B658" s="84" t="str">
        <f t="array" ref="B658">IFERROR(INDEX(Activos!$B$3:$C$16, MATCH(C658,Activos!$B$3:$B$16),2),"")</f>
        <v/>
      </c>
      <c r="C658" s="84"/>
      <c r="D658" s="84"/>
      <c r="E658" s="76"/>
      <c r="F658" s="76" t="str">
        <f>IF(E658='Tablas AR'!$B$4,1,IF('Análisis de Riesgos'!E658='Tablas AR'!$B$5,2,IF('Análisis de Riesgos'!E658='Tablas AR'!$B$6,3,"")))</f>
        <v/>
      </c>
      <c r="G658" s="76"/>
      <c r="H658" s="76" t="str">
        <f>IF(G658='Tablas AR'!$B$10,1,IF('Análisis de Riesgos'!G658='Tablas AR'!$B$11,2,IF('Análisis de Riesgos'!G658='Tablas AR'!$B$12,3,"")))</f>
        <v/>
      </c>
      <c r="I658" s="76">
        <f t="shared" si="1"/>
        <v>0</v>
      </c>
    </row>
    <row r="659" ht="14.25" customHeight="1">
      <c r="B659" s="84" t="str">
        <f t="array" ref="B659">IFERROR(INDEX(Activos!$B$3:$C$16, MATCH(C659,Activos!$B$3:$B$16),2),"")</f>
        <v/>
      </c>
      <c r="C659" s="84"/>
      <c r="D659" s="84"/>
      <c r="E659" s="76"/>
      <c r="F659" s="76" t="str">
        <f>IF(E659='Tablas AR'!$B$4,1,IF('Análisis de Riesgos'!E659='Tablas AR'!$B$5,2,IF('Análisis de Riesgos'!E659='Tablas AR'!$B$6,3,"")))</f>
        <v/>
      </c>
      <c r="G659" s="76"/>
      <c r="H659" s="76" t="str">
        <f>IF(G659='Tablas AR'!$B$10,1,IF('Análisis de Riesgos'!G659='Tablas AR'!$B$11,2,IF('Análisis de Riesgos'!G659='Tablas AR'!$B$12,3,"")))</f>
        <v/>
      </c>
      <c r="I659" s="76">
        <f t="shared" si="1"/>
        <v>0</v>
      </c>
    </row>
    <row r="660" ht="14.25" customHeight="1">
      <c r="B660" s="84" t="str">
        <f t="array" ref="B660">IFERROR(INDEX(Activos!$B$3:$C$16, MATCH(C660,Activos!$B$3:$B$16),2),"")</f>
        <v/>
      </c>
      <c r="C660" s="84"/>
      <c r="D660" s="84"/>
      <c r="E660" s="76"/>
      <c r="F660" s="76" t="str">
        <f>IF(E660='Tablas AR'!$B$4,1,IF('Análisis de Riesgos'!E660='Tablas AR'!$B$5,2,IF('Análisis de Riesgos'!E660='Tablas AR'!$B$6,3,"")))</f>
        <v/>
      </c>
      <c r="G660" s="76"/>
      <c r="H660" s="76" t="str">
        <f>IF(G660='Tablas AR'!$B$10,1,IF('Análisis de Riesgos'!G660='Tablas AR'!$B$11,2,IF('Análisis de Riesgos'!G660='Tablas AR'!$B$12,3,"")))</f>
        <v/>
      </c>
      <c r="I660" s="76">
        <f t="shared" si="1"/>
        <v>0</v>
      </c>
    </row>
    <row r="661" ht="14.25" customHeight="1">
      <c r="B661" s="84" t="str">
        <f t="array" ref="B661">IFERROR(INDEX(Activos!$B$3:$C$16, MATCH(C661,Activos!$B$3:$B$16),2),"")</f>
        <v/>
      </c>
      <c r="C661" s="84"/>
      <c r="D661" s="84"/>
      <c r="E661" s="76"/>
      <c r="F661" s="76" t="str">
        <f>IF(E661='Tablas AR'!$B$4,1,IF('Análisis de Riesgos'!E661='Tablas AR'!$B$5,2,IF('Análisis de Riesgos'!E661='Tablas AR'!$B$6,3,"")))</f>
        <v/>
      </c>
      <c r="G661" s="76"/>
      <c r="H661" s="76" t="str">
        <f>IF(G661='Tablas AR'!$B$10,1,IF('Análisis de Riesgos'!G661='Tablas AR'!$B$11,2,IF('Análisis de Riesgos'!G661='Tablas AR'!$B$12,3,"")))</f>
        <v/>
      </c>
      <c r="I661" s="76">
        <f t="shared" si="1"/>
        <v>0</v>
      </c>
    </row>
    <row r="662" ht="14.25" customHeight="1">
      <c r="B662" s="84" t="str">
        <f t="array" ref="B662">IFERROR(INDEX(Activos!$B$3:$C$16, MATCH(C662,Activos!$B$3:$B$16),2),"")</f>
        <v/>
      </c>
      <c r="C662" s="84"/>
      <c r="D662" s="84"/>
      <c r="E662" s="76"/>
      <c r="F662" s="76" t="str">
        <f>IF(E662='Tablas AR'!$B$4,1,IF('Análisis de Riesgos'!E662='Tablas AR'!$B$5,2,IF('Análisis de Riesgos'!E662='Tablas AR'!$B$6,3,"")))</f>
        <v/>
      </c>
      <c r="G662" s="76"/>
      <c r="H662" s="76" t="str">
        <f>IF(G662='Tablas AR'!$B$10,1,IF('Análisis de Riesgos'!G662='Tablas AR'!$B$11,2,IF('Análisis de Riesgos'!G662='Tablas AR'!$B$12,3,"")))</f>
        <v/>
      </c>
      <c r="I662" s="76">
        <f t="shared" si="1"/>
        <v>0</v>
      </c>
    </row>
    <row r="663" ht="14.25" customHeight="1">
      <c r="B663" s="84" t="str">
        <f t="array" ref="B663">IFERROR(INDEX(Activos!$B$3:$C$16, MATCH(C663,Activos!$B$3:$B$16),2),"")</f>
        <v/>
      </c>
      <c r="C663" s="84"/>
      <c r="D663" s="84"/>
      <c r="E663" s="76"/>
      <c r="F663" s="76" t="str">
        <f>IF(E663='Tablas AR'!$B$4,1,IF('Análisis de Riesgos'!E663='Tablas AR'!$B$5,2,IF('Análisis de Riesgos'!E663='Tablas AR'!$B$6,3,"")))</f>
        <v/>
      </c>
      <c r="G663" s="76"/>
      <c r="H663" s="76" t="str">
        <f>IF(G663='Tablas AR'!$B$10,1,IF('Análisis de Riesgos'!G663='Tablas AR'!$B$11,2,IF('Análisis de Riesgos'!G663='Tablas AR'!$B$12,3,"")))</f>
        <v/>
      </c>
      <c r="I663" s="76">
        <f t="shared" si="1"/>
        <v>0</v>
      </c>
    </row>
    <row r="664" ht="14.25" customHeight="1">
      <c r="B664" s="84" t="str">
        <f t="array" ref="B664">IFERROR(INDEX(Activos!$B$3:$C$16, MATCH(C664,Activos!$B$3:$B$16),2),"")</f>
        <v/>
      </c>
      <c r="C664" s="84"/>
      <c r="D664" s="84"/>
      <c r="E664" s="76"/>
      <c r="F664" s="76" t="str">
        <f>IF(E664='Tablas AR'!$B$4,1,IF('Análisis de Riesgos'!E664='Tablas AR'!$B$5,2,IF('Análisis de Riesgos'!E664='Tablas AR'!$B$6,3,"")))</f>
        <v/>
      </c>
      <c r="G664" s="76"/>
      <c r="H664" s="76" t="str">
        <f>IF(G664='Tablas AR'!$B$10,1,IF('Análisis de Riesgos'!G664='Tablas AR'!$B$11,2,IF('Análisis de Riesgos'!G664='Tablas AR'!$B$12,3,"")))</f>
        <v/>
      </c>
      <c r="I664" s="76">
        <f t="shared" si="1"/>
        <v>0</v>
      </c>
    </row>
    <row r="665" ht="14.25" customHeight="1">
      <c r="B665" s="84" t="str">
        <f t="array" ref="B665">IFERROR(INDEX(Activos!$B$3:$C$16, MATCH(C665,Activos!$B$3:$B$16),2),"")</f>
        <v/>
      </c>
      <c r="C665" s="84"/>
      <c r="D665" s="84"/>
      <c r="E665" s="76"/>
      <c r="F665" s="76" t="str">
        <f>IF(E665='Tablas AR'!$B$4,1,IF('Análisis de Riesgos'!E665='Tablas AR'!$B$5,2,IF('Análisis de Riesgos'!E665='Tablas AR'!$B$6,3,"")))</f>
        <v/>
      </c>
      <c r="G665" s="76"/>
      <c r="H665" s="76" t="str">
        <f>IF(G665='Tablas AR'!$B$10,1,IF('Análisis de Riesgos'!G665='Tablas AR'!$B$11,2,IF('Análisis de Riesgos'!G665='Tablas AR'!$B$12,3,"")))</f>
        <v/>
      </c>
      <c r="I665" s="76">
        <f t="shared" si="1"/>
        <v>0</v>
      </c>
    </row>
    <row r="666" ht="14.25" customHeight="1">
      <c r="B666" s="84" t="str">
        <f t="array" ref="B666">IFERROR(INDEX(Activos!$B$3:$C$16, MATCH(C666,Activos!$B$3:$B$16),2),"")</f>
        <v/>
      </c>
      <c r="C666" s="84"/>
      <c r="D666" s="84"/>
      <c r="E666" s="76"/>
      <c r="F666" s="76" t="str">
        <f>IF(E666='Tablas AR'!$B$4,1,IF('Análisis de Riesgos'!E666='Tablas AR'!$B$5,2,IF('Análisis de Riesgos'!E666='Tablas AR'!$B$6,3,"")))</f>
        <v/>
      </c>
      <c r="G666" s="76"/>
      <c r="H666" s="76" t="str">
        <f>IF(G666='Tablas AR'!$B$10,1,IF('Análisis de Riesgos'!G666='Tablas AR'!$B$11,2,IF('Análisis de Riesgos'!G666='Tablas AR'!$B$12,3,"")))</f>
        <v/>
      </c>
      <c r="I666" s="76">
        <f t="shared" si="1"/>
        <v>0</v>
      </c>
    </row>
    <row r="667" ht="14.25" customHeight="1">
      <c r="B667" s="84" t="str">
        <f t="array" ref="B667">IFERROR(INDEX(Activos!$B$3:$C$16, MATCH(C667,Activos!$B$3:$B$16),2),"")</f>
        <v/>
      </c>
      <c r="C667" s="84"/>
      <c r="D667" s="84"/>
      <c r="E667" s="76"/>
      <c r="F667" s="76" t="str">
        <f>IF(E667='Tablas AR'!$B$4,1,IF('Análisis de Riesgos'!E667='Tablas AR'!$B$5,2,IF('Análisis de Riesgos'!E667='Tablas AR'!$B$6,3,"")))</f>
        <v/>
      </c>
      <c r="G667" s="76"/>
      <c r="H667" s="76" t="str">
        <f>IF(G667='Tablas AR'!$B$10,1,IF('Análisis de Riesgos'!G667='Tablas AR'!$B$11,2,IF('Análisis de Riesgos'!G667='Tablas AR'!$B$12,3,"")))</f>
        <v/>
      </c>
      <c r="I667" s="76">
        <f t="shared" si="1"/>
        <v>0</v>
      </c>
    </row>
    <row r="668" ht="14.25" customHeight="1">
      <c r="B668" s="84" t="str">
        <f t="array" ref="B668">IFERROR(INDEX(Activos!$B$3:$C$16, MATCH(C668,Activos!$B$3:$B$16),2),"")</f>
        <v/>
      </c>
      <c r="C668" s="84"/>
      <c r="D668" s="84"/>
      <c r="E668" s="76"/>
      <c r="F668" s="76" t="str">
        <f>IF(E668='Tablas AR'!$B$4,1,IF('Análisis de Riesgos'!E668='Tablas AR'!$B$5,2,IF('Análisis de Riesgos'!E668='Tablas AR'!$B$6,3,"")))</f>
        <v/>
      </c>
      <c r="G668" s="76"/>
      <c r="H668" s="76" t="str">
        <f>IF(G668='Tablas AR'!$B$10,1,IF('Análisis de Riesgos'!G668='Tablas AR'!$B$11,2,IF('Análisis de Riesgos'!G668='Tablas AR'!$B$12,3,"")))</f>
        <v/>
      </c>
      <c r="I668" s="76">
        <f t="shared" si="1"/>
        <v>0</v>
      </c>
    </row>
    <row r="669" ht="14.25" customHeight="1">
      <c r="B669" s="84" t="str">
        <f t="array" ref="B669">IFERROR(INDEX(Activos!$B$3:$C$16, MATCH(C669,Activos!$B$3:$B$16),2),"")</f>
        <v/>
      </c>
      <c r="C669" s="84"/>
      <c r="D669" s="84"/>
      <c r="E669" s="76"/>
      <c r="F669" s="76" t="str">
        <f>IF(E669='Tablas AR'!$B$4,1,IF('Análisis de Riesgos'!E669='Tablas AR'!$B$5,2,IF('Análisis de Riesgos'!E669='Tablas AR'!$B$6,3,"")))</f>
        <v/>
      </c>
      <c r="G669" s="76"/>
      <c r="H669" s="76" t="str">
        <f>IF(G669='Tablas AR'!$B$10,1,IF('Análisis de Riesgos'!G669='Tablas AR'!$B$11,2,IF('Análisis de Riesgos'!G669='Tablas AR'!$B$12,3,"")))</f>
        <v/>
      </c>
      <c r="I669" s="76">
        <f t="shared" si="1"/>
        <v>0</v>
      </c>
    </row>
    <row r="670" ht="14.25" customHeight="1">
      <c r="B670" s="84" t="str">
        <f t="array" ref="B670">IFERROR(INDEX(Activos!$B$3:$C$16, MATCH(C670,Activos!$B$3:$B$16),2),"")</f>
        <v/>
      </c>
      <c r="C670" s="84"/>
      <c r="D670" s="84"/>
      <c r="E670" s="76"/>
      <c r="F670" s="76" t="str">
        <f>IF(E670='Tablas AR'!$B$4,1,IF('Análisis de Riesgos'!E670='Tablas AR'!$B$5,2,IF('Análisis de Riesgos'!E670='Tablas AR'!$B$6,3,"")))</f>
        <v/>
      </c>
      <c r="G670" s="76"/>
      <c r="H670" s="76" t="str">
        <f>IF(G670='Tablas AR'!$B$10,1,IF('Análisis de Riesgos'!G670='Tablas AR'!$B$11,2,IF('Análisis de Riesgos'!G670='Tablas AR'!$B$12,3,"")))</f>
        <v/>
      </c>
      <c r="I670" s="76">
        <f t="shared" si="1"/>
        <v>0</v>
      </c>
    </row>
    <row r="671" ht="14.25" customHeight="1">
      <c r="B671" s="84" t="str">
        <f t="array" ref="B671">IFERROR(INDEX(Activos!$B$3:$C$16, MATCH(C671,Activos!$B$3:$B$16),2),"")</f>
        <v/>
      </c>
      <c r="C671" s="84"/>
      <c r="D671" s="84"/>
      <c r="E671" s="76"/>
      <c r="F671" s="76" t="str">
        <f>IF(E671='Tablas AR'!$B$4,1,IF('Análisis de Riesgos'!E671='Tablas AR'!$B$5,2,IF('Análisis de Riesgos'!E671='Tablas AR'!$B$6,3,"")))</f>
        <v/>
      </c>
      <c r="G671" s="76"/>
      <c r="H671" s="76" t="str">
        <f>IF(G671='Tablas AR'!$B$10,1,IF('Análisis de Riesgos'!G671='Tablas AR'!$B$11,2,IF('Análisis de Riesgos'!G671='Tablas AR'!$B$12,3,"")))</f>
        <v/>
      </c>
      <c r="I671" s="76">
        <f t="shared" si="1"/>
        <v>0</v>
      </c>
    </row>
    <row r="672" ht="14.25" customHeight="1">
      <c r="B672" s="84" t="str">
        <f t="array" ref="B672">IFERROR(INDEX(Activos!$B$3:$C$16, MATCH(C672,Activos!$B$3:$B$16),2),"")</f>
        <v/>
      </c>
      <c r="C672" s="84"/>
      <c r="D672" s="84"/>
      <c r="E672" s="76"/>
      <c r="F672" s="76" t="str">
        <f>IF(E672='Tablas AR'!$B$4,1,IF('Análisis de Riesgos'!E672='Tablas AR'!$B$5,2,IF('Análisis de Riesgos'!E672='Tablas AR'!$B$6,3,"")))</f>
        <v/>
      </c>
      <c r="G672" s="76"/>
      <c r="H672" s="76" t="str">
        <f>IF(G672='Tablas AR'!$B$10,1,IF('Análisis de Riesgos'!G672='Tablas AR'!$B$11,2,IF('Análisis de Riesgos'!G672='Tablas AR'!$B$12,3,"")))</f>
        <v/>
      </c>
      <c r="I672" s="76">
        <f t="shared" si="1"/>
        <v>0</v>
      </c>
    </row>
    <row r="673" ht="14.25" customHeight="1">
      <c r="B673" s="84" t="str">
        <f t="array" ref="B673">IFERROR(INDEX(Activos!$B$3:$C$16, MATCH(C673,Activos!$B$3:$B$16),2),"")</f>
        <v/>
      </c>
      <c r="C673" s="84"/>
      <c r="D673" s="84"/>
      <c r="E673" s="76"/>
      <c r="F673" s="76" t="str">
        <f>IF(E673='Tablas AR'!$B$4,1,IF('Análisis de Riesgos'!E673='Tablas AR'!$B$5,2,IF('Análisis de Riesgos'!E673='Tablas AR'!$B$6,3,"")))</f>
        <v/>
      </c>
      <c r="G673" s="76"/>
      <c r="H673" s="76" t="str">
        <f>IF(G673='Tablas AR'!$B$10,1,IF('Análisis de Riesgos'!G673='Tablas AR'!$B$11,2,IF('Análisis de Riesgos'!G673='Tablas AR'!$B$12,3,"")))</f>
        <v/>
      </c>
      <c r="I673" s="76">
        <f t="shared" si="1"/>
        <v>0</v>
      </c>
    </row>
    <row r="674" ht="14.25" customHeight="1">
      <c r="B674" s="84" t="str">
        <f t="array" ref="B674">IFERROR(INDEX(Activos!$B$3:$C$16, MATCH(C674,Activos!$B$3:$B$16),2),"")</f>
        <v/>
      </c>
      <c r="C674" s="84"/>
      <c r="D674" s="84"/>
      <c r="E674" s="76"/>
      <c r="F674" s="76" t="str">
        <f>IF(E674='Tablas AR'!$B$4,1,IF('Análisis de Riesgos'!E674='Tablas AR'!$B$5,2,IF('Análisis de Riesgos'!E674='Tablas AR'!$B$6,3,"")))</f>
        <v/>
      </c>
      <c r="G674" s="76"/>
      <c r="H674" s="76" t="str">
        <f>IF(G674='Tablas AR'!$B$10,1,IF('Análisis de Riesgos'!G674='Tablas AR'!$B$11,2,IF('Análisis de Riesgos'!G674='Tablas AR'!$B$12,3,"")))</f>
        <v/>
      </c>
      <c r="I674" s="76">
        <f t="shared" si="1"/>
        <v>0</v>
      </c>
    </row>
    <row r="675" ht="14.25" customHeight="1">
      <c r="B675" s="84" t="str">
        <f t="array" ref="B675">IFERROR(INDEX(Activos!$B$3:$C$16, MATCH(C675,Activos!$B$3:$B$16),2),"")</f>
        <v/>
      </c>
      <c r="C675" s="84"/>
      <c r="D675" s="84"/>
      <c r="E675" s="76"/>
      <c r="F675" s="76" t="str">
        <f>IF(E675='Tablas AR'!$B$4,1,IF('Análisis de Riesgos'!E675='Tablas AR'!$B$5,2,IF('Análisis de Riesgos'!E675='Tablas AR'!$B$6,3,"")))</f>
        <v/>
      </c>
      <c r="G675" s="76"/>
      <c r="H675" s="76" t="str">
        <f>IF(G675='Tablas AR'!$B$10,1,IF('Análisis de Riesgos'!G675='Tablas AR'!$B$11,2,IF('Análisis de Riesgos'!G675='Tablas AR'!$B$12,3,"")))</f>
        <v/>
      </c>
      <c r="I675" s="76">
        <f t="shared" si="1"/>
        <v>0</v>
      </c>
    </row>
    <row r="676" ht="14.25" customHeight="1">
      <c r="B676" s="84" t="str">
        <f t="array" ref="B676">IFERROR(INDEX(Activos!$B$3:$C$16, MATCH(C676,Activos!$B$3:$B$16),2),"")</f>
        <v/>
      </c>
      <c r="C676" s="84"/>
      <c r="D676" s="84"/>
      <c r="E676" s="76"/>
      <c r="F676" s="76" t="str">
        <f>IF(E676='Tablas AR'!$B$4,1,IF('Análisis de Riesgos'!E676='Tablas AR'!$B$5,2,IF('Análisis de Riesgos'!E676='Tablas AR'!$B$6,3,"")))</f>
        <v/>
      </c>
      <c r="G676" s="76"/>
      <c r="H676" s="76" t="str">
        <f>IF(G676='Tablas AR'!$B$10,1,IF('Análisis de Riesgos'!G676='Tablas AR'!$B$11,2,IF('Análisis de Riesgos'!G676='Tablas AR'!$B$12,3,"")))</f>
        <v/>
      </c>
      <c r="I676" s="76">
        <f t="shared" si="1"/>
        <v>0</v>
      </c>
    </row>
    <row r="677" ht="14.25" customHeight="1">
      <c r="B677" s="84" t="str">
        <f t="array" ref="B677">IFERROR(INDEX(Activos!$B$3:$C$16, MATCH(C677,Activos!$B$3:$B$16),2),"")</f>
        <v/>
      </c>
      <c r="C677" s="84"/>
      <c r="D677" s="84"/>
      <c r="E677" s="76"/>
      <c r="F677" s="76" t="str">
        <f>IF(E677='Tablas AR'!$B$4,1,IF('Análisis de Riesgos'!E677='Tablas AR'!$B$5,2,IF('Análisis de Riesgos'!E677='Tablas AR'!$B$6,3,"")))</f>
        <v/>
      </c>
      <c r="G677" s="76"/>
      <c r="H677" s="76" t="str">
        <f>IF(G677='Tablas AR'!$B$10,1,IF('Análisis de Riesgos'!G677='Tablas AR'!$B$11,2,IF('Análisis de Riesgos'!G677='Tablas AR'!$B$12,3,"")))</f>
        <v/>
      </c>
      <c r="I677" s="76">
        <f t="shared" si="1"/>
        <v>0</v>
      </c>
    </row>
    <row r="678" ht="14.25" customHeight="1">
      <c r="B678" s="84" t="str">
        <f t="array" ref="B678">IFERROR(INDEX(Activos!$B$3:$C$16, MATCH(C678,Activos!$B$3:$B$16),2),"")</f>
        <v/>
      </c>
      <c r="C678" s="84"/>
      <c r="D678" s="84"/>
      <c r="E678" s="76"/>
      <c r="F678" s="76" t="str">
        <f>IF(E678='Tablas AR'!$B$4,1,IF('Análisis de Riesgos'!E678='Tablas AR'!$B$5,2,IF('Análisis de Riesgos'!E678='Tablas AR'!$B$6,3,"")))</f>
        <v/>
      </c>
      <c r="G678" s="76"/>
      <c r="H678" s="76" t="str">
        <f>IF(G678='Tablas AR'!$B$10,1,IF('Análisis de Riesgos'!G678='Tablas AR'!$B$11,2,IF('Análisis de Riesgos'!G678='Tablas AR'!$B$12,3,"")))</f>
        <v/>
      </c>
      <c r="I678" s="76">
        <f t="shared" si="1"/>
        <v>0</v>
      </c>
    </row>
    <row r="679" ht="14.25" customHeight="1">
      <c r="B679" s="84" t="str">
        <f t="array" ref="B679">IFERROR(INDEX(Activos!$B$3:$C$16, MATCH(C679,Activos!$B$3:$B$16),2),"")</f>
        <v/>
      </c>
      <c r="C679" s="84"/>
      <c r="D679" s="84"/>
      <c r="E679" s="76"/>
      <c r="F679" s="76" t="str">
        <f>IF(E679='Tablas AR'!$B$4,1,IF('Análisis de Riesgos'!E679='Tablas AR'!$B$5,2,IF('Análisis de Riesgos'!E679='Tablas AR'!$B$6,3,"")))</f>
        <v/>
      </c>
      <c r="G679" s="76"/>
      <c r="H679" s="76" t="str">
        <f>IF(G679='Tablas AR'!$B$10,1,IF('Análisis de Riesgos'!G679='Tablas AR'!$B$11,2,IF('Análisis de Riesgos'!G679='Tablas AR'!$B$12,3,"")))</f>
        <v/>
      </c>
      <c r="I679" s="76">
        <f t="shared" si="1"/>
        <v>0</v>
      </c>
    </row>
    <row r="680" ht="14.25" customHeight="1">
      <c r="B680" s="84" t="str">
        <f t="array" ref="B680">IFERROR(INDEX(Activos!$B$3:$C$16, MATCH(C680,Activos!$B$3:$B$16),2),"")</f>
        <v/>
      </c>
      <c r="C680" s="84"/>
      <c r="D680" s="84"/>
      <c r="E680" s="76"/>
      <c r="F680" s="76" t="str">
        <f>IF(E680='Tablas AR'!$B$4,1,IF('Análisis de Riesgos'!E680='Tablas AR'!$B$5,2,IF('Análisis de Riesgos'!E680='Tablas AR'!$B$6,3,"")))</f>
        <v/>
      </c>
      <c r="G680" s="76"/>
      <c r="H680" s="76" t="str">
        <f>IF(G680='Tablas AR'!$B$10,1,IF('Análisis de Riesgos'!G680='Tablas AR'!$B$11,2,IF('Análisis de Riesgos'!G680='Tablas AR'!$B$12,3,"")))</f>
        <v/>
      </c>
      <c r="I680" s="76">
        <f t="shared" si="1"/>
        <v>0</v>
      </c>
    </row>
    <row r="681" ht="14.25" customHeight="1">
      <c r="B681" s="84" t="str">
        <f t="array" ref="B681">IFERROR(INDEX(Activos!$B$3:$C$16, MATCH(C681,Activos!$B$3:$B$16),2),"")</f>
        <v/>
      </c>
      <c r="C681" s="84"/>
      <c r="D681" s="84"/>
      <c r="E681" s="76"/>
      <c r="F681" s="76" t="str">
        <f>IF(E681='Tablas AR'!$B$4,1,IF('Análisis de Riesgos'!E681='Tablas AR'!$B$5,2,IF('Análisis de Riesgos'!E681='Tablas AR'!$B$6,3,"")))</f>
        <v/>
      </c>
      <c r="G681" s="76"/>
      <c r="H681" s="76" t="str">
        <f>IF(G681='Tablas AR'!$B$10,1,IF('Análisis de Riesgos'!G681='Tablas AR'!$B$11,2,IF('Análisis de Riesgos'!G681='Tablas AR'!$B$12,3,"")))</f>
        <v/>
      </c>
      <c r="I681" s="76">
        <f t="shared" si="1"/>
        <v>0</v>
      </c>
    </row>
    <row r="682" ht="14.25" customHeight="1">
      <c r="B682" s="84" t="str">
        <f t="array" ref="B682">IFERROR(INDEX(Activos!$B$3:$C$16, MATCH(C682,Activos!$B$3:$B$16),2),"")</f>
        <v/>
      </c>
      <c r="C682" s="84"/>
      <c r="D682" s="84"/>
      <c r="E682" s="76"/>
      <c r="F682" s="76" t="str">
        <f>IF(E682='Tablas AR'!$B$4,1,IF('Análisis de Riesgos'!E682='Tablas AR'!$B$5,2,IF('Análisis de Riesgos'!E682='Tablas AR'!$B$6,3,"")))</f>
        <v/>
      </c>
      <c r="G682" s="76"/>
      <c r="H682" s="76" t="str">
        <f>IF(G682='Tablas AR'!$B$10,1,IF('Análisis de Riesgos'!G682='Tablas AR'!$B$11,2,IF('Análisis de Riesgos'!G682='Tablas AR'!$B$12,3,"")))</f>
        <v/>
      </c>
      <c r="I682" s="76">
        <f t="shared" si="1"/>
        <v>0</v>
      </c>
    </row>
    <row r="683" ht="14.25" customHeight="1">
      <c r="B683" s="84" t="str">
        <f t="array" ref="B683">IFERROR(INDEX(Activos!$B$3:$C$16, MATCH(C683,Activos!$B$3:$B$16),2),"")</f>
        <v/>
      </c>
      <c r="C683" s="84"/>
      <c r="D683" s="84"/>
      <c r="E683" s="76"/>
      <c r="F683" s="76" t="str">
        <f>IF(E683='Tablas AR'!$B$4,1,IF('Análisis de Riesgos'!E683='Tablas AR'!$B$5,2,IF('Análisis de Riesgos'!E683='Tablas AR'!$B$6,3,"")))</f>
        <v/>
      </c>
      <c r="G683" s="76"/>
      <c r="H683" s="76" t="str">
        <f>IF(G683='Tablas AR'!$B$10,1,IF('Análisis de Riesgos'!G683='Tablas AR'!$B$11,2,IF('Análisis de Riesgos'!G683='Tablas AR'!$B$12,3,"")))</f>
        <v/>
      </c>
      <c r="I683" s="76">
        <f t="shared" si="1"/>
        <v>0</v>
      </c>
    </row>
    <row r="684" ht="14.25" customHeight="1">
      <c r="B684" s="84" t="str">
        <f t="array" ref="B684">IFERROR(INDEX(Activos!$B$3:$C$16, MATCH(C684,Activos!$B$3:$B$16),2),"")</f>
        <v/>
      </c>
      <c r="C684" s="84"/>
      <c r="D684" s="84"/>
      <c r="E684" s="76"/>
      <c r="F684" s="76" t="str">
        <f>IF(E684='Tablas AR'!$B$4,1,IF('Análisis de Riesgos'!E684='Tablas AR'!$B$5,2,IF('Análisis de Riesgos'!E684='Tablas AR'!$B$6,3,"")))</f>
        <v/>
      </c>
      <c r="G684" s="76"/>
      <c r="H684" s="76" t="str">
        <f>IF(G684='Tablas AR'!$B$10,1,IF('Análisis de Riesgos'!G684='Tablas AR'!$B$11,2,IF('Análisis de Riesgos'!G684='Tablas AR'!$B$12,3,"")))</f>
        <v/>
      </c>
      <c r="I684" s="76">
        <f t="shared" si="1"/>
        <v>0</v>
      </c>
    </row>
    <row r="685" ht="14.25" customHeight="1">
      <c r="B685" s="84" t="str">
        <f t="array" ref="B685">IFERROR(INDEX(Activos!$B$3:$C$16, MATCH(C685,Activos!$B$3:$B$16),2),"")</f>
        <v/>
      </c>
      <c r="C685" s="84"/>
      <c r="D685" s="84"/>
      <c r="E685" s="76"/>
      <c r="F685" s="76" t="str">
        <f>IF(E685='Tablas AR'!$B$4,1,IF('Análisis de Riesgos'!E685='Tablas AR'!$B$5,2,IF('Análisis de Riesgos'!E685='Tablas AR'!$B$6,3,"")))</f>
        <v/>
      </c>
      <c r="G685" s="76"/>
      <c r="H685" s="76" t="str">
        <f>IF(G685='Tablas AR'!$B$10,1,IF('Análisis de Riesgos'!G685='Tablas AR'!$B$11,2,IF('Análisis de Riesgos'!G685='Tablas AR'!$B$12,3,"")))</f>
        <v/>
      </c>
      <c r="I685" s="76">
        <f t="shared" si="1"/>
        <v>0</v>
      </c>
    </row>
    <row r="686" ht="14.25" customHeight="1">
      <c r="B686" s="84" t="str">
        <f t="array" ref="B686">IFERROR(INDEX(Activos!$B$3:$C$16, MATCH(C686,Activos!$B$3:$B$16),2),"")</f>
        <v/>
      </c>
      <c r="C686" s="84"/>
      <c r="D686" s="84"/>
      <c r="E686" s="76"/>
      <c r="F686" s="76" t="str">
        <f>IF(E686='Tablas AR'!$B$4,1,IF('Análisis de Riesgos'!E686='Tablas AR'!$B$5,2,IF('Análisis de Riesgos'!E686='Tablas AR'!$B$6,3,"")))</f>
        <v/>
      </c>
      <c r="G686" s="76"/>
      <c r="H686" s="76" t="str">
        <f>IF(G686='Tablas AR'!$B$10,1,IF('Análisis de Riesgos'!G686='Tablas AR'!$B$11,2,IF('Análisis de Riesgos'!G686='Tablas AR'!$B$12,3,"")))</f>
        <v/>
      </c>
      <c r="I686" s="76">
        <f t="shared" si="1"/>
        <v>0</v>
      </c>
    </row>
    <row r="687" ht="14.25" customHeight="1">
      <c r="B687" s="84" t="str">
        <f t="array" ref="B687">IFERROR(INDEX(Activos!$B$3:$C$16, MATCH(C687,Activos!$B$3:$B$16),2),"")</f>
        <v/>
      </c>
      <c r="C687" s="84"/>
      <c r="D687" s="84"/>
      <c r="E687" s="76"/>
      <c r="F687" s="76" t="str">
        <f>IF(E687='Tablas AR'!$B$4,1,IF('Análisis de Riesgos'!E687='Tablas AR'!$B$5,2,IF('Análisis de Riesgos'!E687='Tablas AR'!$B$6,3,"")))</f>
        <v/>
      </c>
      <c r="G687" s="76"/>
      <c r="H687" s="76" t="str">
        <f>IF(G687='Tablas AR'!$B$10,1,IF('Análisis de Riesgos'!G687='Tablas AR'!$B$11,2,IF('Análisis de Riesgos'!G687='Tablas AR'!$B$12,3,"")))</f>
        <v/>
      </c>
      <c r="I687" s="76">
        <f t="shared" si="1"/>
        <v>0</v>
      </c>
    </row>
    <row r="688" ht="14.25" customHeight="1">
      <c r="B688" s="84" t="str">
        <f t="array" ref="B688">IFERROR(INDEX(Activos!$B$3:$C$16, MATCH(C688,Activos!$B$3:$B$16),2),"")</f>
        <v/>
      </c>
      <c r="C688" s="84"/>
      <c r="D688" s="84"/>
      <c r="E688" s="76"/>
      <c r="F688" s="76" t="str">
        <f>IF(E688='Tablas AR'!$B$4,1,IF('Análisis de Riesgos'!E688='Tablas AR'!$B$5,2,IF('Análisis de Riesgos'!E688='Tablas AR'!$B$6,3,"")))</f>
        <v/>
      </c>
      <c r="G688" s="76"/>
      <c r="H688" s="76" t="str">
        <f>IF(G688='Tablas AR'!$B$10,1,IF('Análisis de Riesgos'!G688='Tablas AR'!$B$11,2,IF('Análisis de Riesgos'!G688='Tablas AR'!$B$12,3,"")))</f>
        <v/>
      </c>
      <c r="I688" s="76">
        <f t="shared" si="1"/>
        <v>0</v>
      </c>
    </row>
    <row r="689" ht="14.25" customHeight="1">
      <c r="B689" s="84" t="str">
        <f t="array" ref="B689">IFERROR(INDEX(Activos!$B$3:$C$16, MATCH(C689,Activos!$B$3:$B$16),2),"")</f>
        <v/>
      </c>
      <c r="C689" s="84"/>
      <c r="D689" s="84"/>
      <c r="E689" s="76"/>
      <c r="F689" s="76" t="str">
        <f>IF(E689='Tablas AR'!$B$4,1,IF('Análisis de Riesgos'!E689='Tablas AR'!$B$5,2,IF('Análisis de Riesgos'!E689='Tablas AR'!$B$6,3,"")))</f>
        <v/>
      </c>
      <c r="G689" s="76"/>
      <c r="H689" s="76" t="str">
        <f>IF(G689='Tablas AR'!$B$10,1,IF('Análisis de Riesgos'!G689='Tablas AR'!$B$11,2,IF('Análisis de Riesgos'!G689='Tablas AR'!$B$12,3,"")))</f>
        <v/>
      </c>
      <c r="I689" s="76">
        <f t="shared" si="1"/>
        <v>0</v>
      </c>
    </row>
    <row r="690" ht="14.25" customHeight="1">
      <c r="B690" s="84" t="str">
        <f t="array" ref="B690">IFERROR(INDEX(Activos!$B$3:$C$16, MATCH(C690,Activos!$B$3:$B$16),2),"")</f>
        <v/>
      </c>
      <c r="C690" s="84"/>
      <c r="D690" s="84"/>
      <c r="E690" s="76"/>
      <c r="F690" s="76" t="str">
        <f>IF(E690='Tablas AR'!$B$4,1,IF('Análisis de Riesgos'!E690='Tablas AR'!$B$5,2,IF('Análisis de Riesgos'!E690='Tablas AR'!$B$6,3,"")))</f>
        <v/>
      </c>
      <c r="G690" s="76"/>
      <c r="H690" s="76" t="str">
        <f>IF(G690='Tablas AR'!$B$10,1,IF('Análisis de Riesgos'!G690='Tablas AR'!$B$11,2,IF('Análisis de Riesgos'!G690='Tablas AR'!$B$12,3,"")))</f>
        <v/>
      </c>
      <c r="I690" s="76">
        <f t="shared" si="1"/>
        <v>0</v>
      </c>
    </row>
    <row r="691" ht="14.25" customHeight="1">
      <c r="B691" s="84" t="str">
        <f t="array" ref="B691">IFERROR(INDEX(Activos!$B$3:$C$16, MATCH(C691,Activos!$B$3:$B$16),2),"")</f>
        <v/>
      </c>
      <c r="C691" s="84"/>
      <c r="D691" s="84"/>
      <c r="E691" s="76"/>
      <c r="F691" s="76" t="str">
        <f>IF(E691='Tablas AR'!$B$4,1,IF('Análisis de Riesgos'!E691='Tablas AR'!$B$5,2,IF('Análisis de Riesgos'!E691='Tablas AR'!$B$6,3,"")))</f>
        <v/>
      </c>
      <c r="G691" s="76"/>
      <c r="H691" s="76" t="str">
        <f>IF(G691='Tablas AR'!$B$10,1,IF('Análisis de Riesgos'!G691='Tablas AR'!$B$11,2,IF('Análisis de Riesgos'!G691='Tablas AR'!$B$12,3,"")))</f>
        <v/>
      </c>
      <c r="I691" s="76">
        <f t="shared" si="1"/>
        <v>0</v>
      </c>
    </row>
    <row r="692" ht="14.25" customHeight="1">
      <c r="B692" s="84" t="str">
        <f t="array" ref="B692">IFERROR(INDEX(Activos!$B$3:$C$16, MATCH(C692,Activos!$B$3:$B$16),2),"")</f>
        <v/>
      </c>
      <c r="C692" s="84"/>
      <c r="D692" s="84"/>
      <c r="E692" s="76"/>
      <c r="F692" s="76" t="str">
        <f>IF(E692='Tablas AR'!$B$4,1,IF('Análisis de Riesgos'!E692='Tablas AR'!$B$5,2,IF('Análisis de Riesgos'!E692='Tablas AR'!$B$6,3,"")))</f>
        <v/>
      </c>
      <c r="G692" s="76"/>
      <c r="H692" s="76" t="str">
        <f>IF(G692='Tablas AR'!$B$10,1,IF('Análisis de Riesgos'!G692='Tablas AR'!$B$11,2,IF('Análisis de Riesgos'!G692='Tablas AR'!$B$12,3,"")))</f>
        <v/>
      </c>
      <c r="I692" s="76">
        <f t="shared" si="1"/>
        <v>0</v>
      </c>
    </row>
    <row r="693" ht="14.25" customHeight="1">
      <c r="B693" s="84" t="str">
        <f t="array" ref="B693">IFERROR(INDEX(Activos!$B$3:$C$16, MATCH(C693,Activos!$B$3:$B$16),2),"")</f>
        <v/>
      </c>
      <c r="C693" s="84"/>
      <c r="D693" s="84"/>
      <c r="E693" s="76"/>
      <c r="F693" s="76" t="str">
        <f>IF(E693='Tablas AR'!$B$4,1,IF('Análisis de Riesgos'!E693='Tablas AR'!$B$5,2,IF('Análisis de Riesgos'!E693='Tablas AR'!$B$6,3,"")))</f>
        <v/>
      </c>
      <c r="G693" s="76"/>
      <c r="H693" s="76" t="str">
        <f>IF(G693='Tablas AR'!$B$10,1,IF('Análisis de Riesgos'!G693='Tablas AR'!$B$11,2,IF('Análisis de Riesgos'!G693='Tablas AR'!$B$12,3,"")))</f>
        <v/>
      </c>
      <c r="I693" s="76">
        <f t="shared" si="1"/>
        <v>0</v>
      </c>
    </row>
    <row r="694" ht="14.25" customHeight="1">
      <c r="B694" s="84" t="str">
        <f t="array" ref="B694">IFERROR(INDEX(Activos!$B$3:$C$16, MATCH(C694,Activos!$B$3:$B$16),2),"")</f>
        <v/>
      </c>
      <c r="C694" s="84"/>
      <c r="D694" s="84"/>
      <c r="E694" s="76"/>
      <c r="F694" s="76" t="str">
        <f>IF(E694='Tablas AR'!$B$4,1,IF('Análisis de Riesgos'!E694='Tablas AR'!$B$5,2,IF('Análisis de Riesgos'!E694='Tablas AR'!$B$6,3,"")))</f>
        <v/>
      </c>
      <c r="G694" s="76"/>
      <c r="H694" s="76" t="str">
        <f>IF(G694='Tablas AR'!$B$10,1,IF('Análisis de Riesgos'!G694='Tablas AR'!$B$11,2,IF('Análisis de Riesgos'!G694='Tablas AR'!$B$12,3,"")))</f>
        <v/>
      </c>
      <c r="I694" s="76">
        <f t="shared" si="1"/>
        <v>0</v>
      </c>
    </row>
    <row r="695" ht="14.25" customHeight="1">
      <c r="B695" s="84" t="str">
        <f t="array" ref="B695">IFERROR(INDEX(Activos!$B$3:$C$16, MATCH(C695,Activos!$B$3:$B$16),2),"")</f>
        <v/>
      </c>
      <c r="C695" s="84"/>
      <c r="D695" s="84"/>
      <c r="E695" s="76"/>
      <c r="F695" s="76" t="str">
        <f>IF(E695='Tablas AR'!$B$4,1,IF('Análisis de Riesgos'!E695='Tablas AR'!$B$5,2,IF('Análisis de Riesgos'!E695='Tablas AR'!$B$6,3,"")))</f>
        <v/>
      </c>
      <c r="G695" s="76"/>
      <c r="H695" s="76" t="str">
        <f>IF(G695='Tablas AR'!$B$10,1,IF('Análisis de Riesgos'!G695='Tablas AR'!$B$11,2,IF('Análisis de Riesgos'!G695='Tablas AR'!$B$12,3,"")))</f>
        <v/>
      </c>
      <c r="I695" s="76">
        <f t="shared" si="1"/>
        <v>0</v>
      </c>
    </row>
    <row r="696" ht="14.25" customHeight="1">
      <c r="B696" s="84" t="str">
        <f t="array" ref="B696">IFERROR(INDEX(Activos!$B$3:$C$16, MATCH(C696,Activos!$B$3:$B$16),2),"")</f>
        <v/>
      </c>
      <c r="C696" s="84"/>
      <c r="D696" s="84"/>
      <c r="E696" s="76"/>
      <c r="F696" s="76" t="str">
        <f>IF(E696='Tablas AR'!$B$4,1,IF('Análisis de Riesgos'!E696='Tablas AR'!$B$5,2,IF('Análisis de Riesgos'!E696='Tablas AR'!$B$6,3,"")))</f>
        <v/>
      </c>
      <c r="G696" s="76"/>
      <c r="H696" s="76" t="str">
        <f>IF(G696='Tablas AR'!$B$10,1,IF('Análisis de Riesgos'!G696='Tablas AR'!$B$11,2,IF('Análisis de Riesgos'!G696='Tablas AR'!$B$12,3,"")))</f>
        <v/>
      </c>
      <c r="I696" s="76">
        <f t="shared" si="1"/>
        <v>0</v>
      </c>
    </row>
    <row r="697" ht="14.25" customHeight="1">
      <c r="B697" s="84" t="str">
        <f t="array" ref="B697">IFERROR(INDEX(Activos!$B$3:$C$16, MATCH(C697,Activos!$B$3:$B$16),2),"")</f>
        <v/>
      </c>
      <c r="C697" s="84"/>
      <c r="D697" s="84"/>
      <c r="E697" s="76"/>
      <c r="F697" s="76" t="str">
        <f>IF(E697='Tablas AR'!$B$4,1,IF('Análisis de Riesgos'!E697='Tablas AR'!$B$5,2,IF('Análisis de Riesgos'!E697='Tablas AR'!$B$6,3,"")))</f>
        <v/>
      </c>
      <c r="G697" s="76"/>
      <c r="H697" s="76" t="str">
        <f>IF(G697='Tablas AR'!$B$10,1,IF('Análisis de Riesgos'!G697='Tablas AR'!$B$11,2,IF('Análisis de Riesgos'!G697='Tablas AR'!$B$12,3,"")))</f>
        <v/>
      </c>
      <c r="I697" s="76">
        <f t="shared" si="1"/>
        <v>0</v>
      </c>
    </row>
    <row r="698" ht="14.25" customHeight="1">
      <c r="B698" s="84" t="str">
        <f t="array" ref="B698">IFERROR(INDEX(Activos!$B$3:$C$16, MATCH(C698,Activos!$B$3:$B$16),2),"")</f>
        <v/>
      </c>
      <c r="C698" s="84"/>
      <c r="D698" s="84"/>
      <c r="E698" s="76"/>
      <c r="F698" s="76" t="str">
        <f>IF(E698='Tablas AR'!$B$4,1,IF('Análisis de Riesgos'!E698='Tablas AR'!$B$5,2,IF('Análisis de Riesgos'!E698='Tablas AR'!$B$6,3,"")))</f>
        <v/>
      </c>
      <c r="G698" s="76"/>
      <c r="H698" s="76" t="str">
        <f>IF(G698='Tablas AR'!$B$10,1,IF('Análisis de Riesgos'!G698='Tablas AR'!$B$11,2,IF('Análisis de Riesgos'!G698='Tablas AR'!$B$12,3,"")))</f>
        <v/>
      </c>
      <c r="I698" s="76">
        <f t="shared" si="1"/>
        <v>0</v>
      </c>
    </row>
    <row r="699" ht="14.25" customHeight="1">
      <c r="B699" s="84" t="str">
        <f t="array" ref="B699">IFERROR(INDEX(Activos!$B$3:$C$16, MATCH(C699,Activos!$B$3:$B$16),2),"")</f>
        <v/>
      </c>
      <c r="C699" s="84"/>
      <c r="D699" s="84"/>
      <c r="E699" s="76"/>
      <c r="F699" s="76" t="str">
        <f>IF(E699='Tablas AR'!$B$4,1,IF('Análisis de Riesgos'!E699='Tablas AR'!$B$5,2,IF('Análisis de Riesgos'!E699='Tablas AR'!$B$6,3,"")))</f>
        <v/>
      </c>
      <c r="G699" s="76"/>
      <c r="H699" s="76" t="str">
        <f>IF(G699='Tablas AR'!$B$10,1,IF('Análisis de Riesgos'!G699='Tablas AR'!$B$11,2,IF('Análisis de Riesgos'!G699='Tablas AR'!$B$12,3,"")))</f>
        <v/>
      </c>
      <c r="I699" s="76">
        <f t="shared" si="1"/>
        <v>0</v>
      </c>
    </row>
    <row r="700" ht="14.25" customHeight="1">
      <c r="B700" s="84" t="str">
        <f t="array" ref="B700">IFERROR(INDEX(Activos!$B$3:$C$16, MATCH(C700,Activos!$B$3:$B$16),2),"")</f>
        <v/>
      </c>
      <c r="C700" s="84"/>
      <c r="D700" s="84"/>
      <c r="E700" s="76"/>
      <c r="F700" s="76" t="str">
        <f>IF(E700='Tablas AR'!$B$4,1,IF('Análisis de Riesgos'!E700='Tablas AR'!$B$5,2,IF('Análisis de Riesgos'!E700='Tablas AR'!$B$6,3,"")))</f>
        <v/>
      </c>
      <c r="G700" s="76"/>
      <c r="H700" s="76" t="str">
        <f>IF(G700='Tablas AR'!$B$10,1,IF('Análisis de Riesgos'!G700='Tablas AR'!$B$11,2,IF('Análisis de Riesgos'!G700='Tablas AR'!$B$12,3,"")))</f>
        <v/>
      </c>
      <c r="I700" s="76">
        <f t="shared" si="1"/>
        <v>0</v>
      </c>
    </row>
    <row r="701" ht="14.25" customHeight="1">
      <c r="B701" s="84" t="str">
        <f t="array" ref="B701">IFERROR(INDEX(Activos!$B$3:$C$16, MATCH(C701,Activos!$B$3:$B$16),2),"")</f>
        <v/>
      </c>
      <c r="C701" s="84"/>
      <c r="D701" s="84"/>
      <c r="E701" s="76"/>
      <c r="F701" s="76" t="str">
        <f>IF(E701='Tablas AR'!$B$4,1,IF('Análisis de Riesgos'!E701='Tablas AR'!$B$5,2,IF('Análisis de Riesgos'!E701='Tablas AR'!$B$6,3,"")))</f>
        <v/>
      </c>
      <c r="G701" s="76"/>
      <c r="H701" s="76" t="str">
        <f>IF(G701='Tablas AR'!$B$10,1,IF('Análisis de Riesgos'!G701='Tablas AR'!$B$11,2,IF('Análisis de Riesgos'!G701='Tablas AR'!$B$12,3,"")))</f>
        <v/>
      </c>
      <c r="I701" s="76">
        <f t="shared" si="1"/>
        <v>0</v>
      </c>
    </row>
    <row r="702" ht="14.25" customHeight="1">
      <c r="B702" s="84" t="str">
        <f t="array" ref="B702">IFERROR(INDEX(Activos!$B$3:$C$16, MATCH(C702,Activos!$B$3:$B$16),2),"")</f>
        <v/>
      </c>
      <c r="C702" s="84"/>
      <c r="D702" s="84"/>
      <c r="E702" s="76"/>
      <c r="F702" s="76" t="str">
        <f>IF(E702='Tablas AR'!$B$4,1,IF('Análisis de Riesgos'!E702='Tablas AR'!$B$5,2,IF('Análisis de Riesgos'!E702='Tablas AR'!$B$6,3,"")))</f>
        <v/>
      </c>
      <c r="G702" s="76"/>
      <c r="H702" s="76" t="str">
        <f>IF(G702='Tablas AR'!$B$10,1,IF('Análisis de Riesgos'!G702='Tablas AR'!$B$11,2,IF('Análisis de Riesgos'!G702='Tablas AR'!$B$12,3,"")))</f>
        <v/>
      </c>
      <c r="I702" s="76">
        <f t="shared" si="1"/>
        <v>0</v>
      </c>
    </row>
    <row r="703" ht="14.25" customHeight="1">
      <c r="B703" s="84" t="str">
        <f t="array" ref="B703">IFERROR(INDEX(Activos!$B$3:$C$16, MATCH(C703,Activos!$B$3:$B$16),2),"")</f>
        <v/>
      </c>
      <c r="C703" s="84"/>
      <c r="D703" s="84"/>
      <c r="E703" s="76"/>
      <c r="F703" s="76" t="str">
        <f>IF(E703='Tablas AR'!$B$4,1,IF('Análisis de Riesgos'!E703='Tablas AR'!$B$5,2,IF('Análisis de Riesgos'!E703='Tablas AR'!$B$6,3,"")))</f>
        <v/>
      </c>
      <c r="G703" s="76"/>
      <c r="H703" s="76" t="str">
        <f>IF(G703='Tablas AR'!$B$10,1,IF('Análisis de Riesgos'!G703='Tablas AR'!$B$11,2,IF('Análisis de Riesgos'!G703='Tablas AR'!$B$12,3,"")))</f>
        <v/>
      </c>
      <c r="I703" s="76">
        <f t="shared" si="1"/>
        <v>0</v>
      </c>
    </row>
    <row r="704" ht="14.25" customHeight="1">
      <c r="B704" s="84" t="str">
        <f t="array" ref="B704">IFERROR(INDEX(Activos!$B$3:$C$16, MATCH(C704,Activos!$B$3:$B$16),2),"")</f>
        <v/>
      </c>
      <c r="C704" s="84"/>
      <c r="D704" s="84"/>
      <c r="E704" s="76"/>
      <c r="F704" s="76" t="str">
        <f>IF(E704='Tablas AR'!$B$4,1,IF('Análisis de Riesgos'!E704='Tablas AR'!$B$5,2,IF('Análisis de Riesgos'!E704='Tablas AR'!$B$6,3,"")))</f>
        <v/>
      </c>
      <c r="G704" s="76"/>
      <c r="H704" s="76" t="str">
        <f>IF(G704='Tablas AR'!$B$10,1,IF('Análisis de Riesgos'!G704='Tablas AR'!$B$11,2,IF('Análisis de Riesgos'!G704='Tablas AR'!$B$12,3,"")))</f>
        <v/>
      </c>
      <c r="I704" s="76">
        <f t="shared" si="1"/>
        <v>0</v>
      </c>
    </row>
    <row r="705" ht="14.25" customHeight="1">
      <c r="B705" s="84" t="str">
        <f t="array" ref="B705">IFERROR(INDEX(Activos!$B$3:$C$16, MATCH(C705,Activos!$B$3:$B$16),2),"")</f>
        <v/>
      </c>
      <c r="C705" s="84"/>
      <c r="D705" s="84"/>
      <c r="E705" s="76"/>
      <c r="F705" s="76" t="str">
        <f>IF(E705='Tablas AR'!$B$4,1,IF('Análisis de Riesgos'!E705='Tablas AR'!$B$5,2,IF('Análisis de Riesgos'!E705='Tablas AR'!$B$6,3,"")))</f>
        <v/>
      </c>
      <c r="G705" s="76"/>
      <c r="H705" s="76" t="str">
        <f>IF(G705='Tablas AR'!$B$10,1,IF('Análisis de Riesgos'!G705='Tablas AR'!$B$11,2,IF('Análisis de Riesgos'!G705='Tablas AR'!$B$12,3,"")))</f>
        <v/>
      </c>
      <c r="I705" s="76">
        <f t="shared" si="1"/>
        <v>0</v>
      </c>
    </row>
    <row r="706" ht="14.25" customHeight="1">
      <c r="B706" s="84" t="str">
        <f t="array" ref="B706">IFERROR(INDEX(Activos!$B$3:$C$16, MATCH(C706,Activos!$B$3:$B$16),2),"")</f>
        <v/>
      </c>
      <c r="C706" s="84"/>
      <c r="D706" s="84"/>
      <c r="E706" s="76"/>
      <c r="F706" s="76" t="str">
        <f>IF(E706='Tablas AR'!$B$4,1,IF('Análisis de Riesgos'!E706='Tablas AR'!$B$5,2,IF('Análisis de Riesgos'!E706='Tablas AR'!$B$6,3,"")))</f>
        <v/>
      </c>
      <c r="G706" s="76"/>
      <c r="H706" s="76" t="str">
        <f>IF(G706='Tablas AR'!$B$10,1,IF('Análisis de Riesgos'!G706='Tablas AR'!$B$11,2,IF('Análisis de Riesgos'!G706='Tablas AR'!$B$12,3,"")))</f>
        <v/>
      </c>
      <c r="I706" s="76">
        <f t="shared" si="1"/>
        <v>0</v>
      </c>
    </row>
    <row r="707" ht="14.25" customHeight="1">
      <c r="B707" s="84" t="str">
        <f t="array" ref="B707">IFERROR(INDEX(Activos!$B$3:$C$16, MATCH(C707,Activos!$B$3:$B$16),2),"")</f>
        <v/>
      </c>
      <c r="C707" s="84"/>
      <c r="D707" s="84"/>
      <c r="E707" s="76"/>
      <c r="F707" s="76" t="str">
        <f>IF(E707='Tablas AR'!$B$4,1,IF('Análisis de Riesgos'!E707='Tablas AR'!$B$5,2,IF('Análisis de Riesgos'!E707='Tablas AR'!$B$6,3,"")))</f>
        <v/>
      </c>
      <c r="G707" s="76"/>
      <c r="H707" s="76" t="str">
        <f>IF(G707='Tablas AR'!$B$10,1,IF('Análisis de Riesgos'!G707='Tablas AR'!$B$11,2,IF('Análisis de Riesgos'!G707='Tablas AR'!$B$12,3,"")))</f>
        <v/>
      </c>
      <c r="I707" s="76">
        <f t="shared" si="1"/>
        <v>0</v>
      </c>
    </row>
    <row r="708" ht="14.25" customHeight="1">
      <c r="B708" s="84" t="str">
        <f t="array" ref="B708">IFERROR(INDEX(Activos!$B$3:$C$16, MATCH(C708,Activos!$B$3:$B$16),2),"")</f>
        <v/>
      </c>
      <c r="C708" s="84"/>
      <c r="D708" s="84"/>
      <c r="E708" s="76"/>
      <c r="F708" s="76" t="str">
        <f>IF(E708='Tablas AR'!$B$4,1,IF('Análisis de Riesgos'!E708='Tablas AR'!$B$5,2,IF('Análisis de Riesgos'!E708='Tablas AR'!$B$6,3,"")))</f>
        <v/>
      </c>
      <c r="G708" s="76"/>
      <c r="H708" s="76" t="str">
        <f>IF(G708='Tablas AR'!$B$10,1,IF('Análisis de Riesgos'!G708='Tablas AR'!$B$11,2,IF('Análisis de Riesgos'!G708='Tablas AR'!$B$12,3,"")))</f>
        <v/>
      </c>
      <c r="I708" s="76">
        <f t="shared" si="1"/>
        <v>0</v>
      </c>
    </row>
    <row r="709" ht="14.25" customHeight="1">
      <c r="B709" s="84" t="str">
        <f t="array" ref="B709">IFERROR(INDEX(Activos!$B$3:$C$16, MATCH(C709,Activos!$B$3:$B$16),2),"")</f>
        <v/>
      </c>
      <c r="C709" s="84"/>
      <c r="D709" s="84"/>
      <c r="E709" s="76"/>
      <c r="F709" s="76" t="str">
        <f>IF(E709='Tablas AR'!$B$4,1,IF('Análisis de Riesgos'!E709='Tablas AR'!$B$5,2,IF('Análisis de Riesgos'!E709='Tablas AR'!$B$6,3,"")))</f>
        <v/>
      </c>
      <c r="G709" s="76"/>
      <c r="H709" s="76" t="str">
        <f>IF(G709='Tablas AR'!$B$10,1,IF('Análisis de Riesgos'!G709='Tablas AR'!$B$11,2,IF('Análisis de Riesgos'!G709='Tablas AR'!$B$12,3,"")))</f>
        <v/>
      </c>
      <c r="I709" s="76">
        <f t="shared" si="1"/>
        <v>0</v>
      </c>
    </row>
    <row r="710" ht="14.25" customHeight="1">
      <c r="B710" s="84" t="str">
        <f t="array" ref="B710">IFERROR(INDEX(Activos!$B$3:$C$16, MATCH(C710,Activos!$B$3:$B$16),2),"")</f>
        <v/>
      </c>
      <c r="C710" s="84"/>
      <c r="D710" s="84"/>
      <c r="E710" s="76"/>
      <c r="F710" s="76" t="str">
        <f>IF(E710='Tablas AR'!$B$4,1,IF('Análisis de Riesgos'!E710='Tablas AR'!$B$5,2,IF('Análisis de Riesgos'!E710='Tablas AR'!$B$6,3,"")))</f>
        <v/>
      </c>
      <c r="G710" s="76"/>
      <c r="H710" s="76" t="str">
        <f>IF(G710='Tablas AR'!$B$10,1,IF('Análisis de Riesgos'!G710='Tablas AR'!$B$11,2,IF('Análisis de Riesgos'!G710='Tablas AR'!$B$12,3,"")))</f>
        <v/>
      </c>
      <c r="I710" s="76">
        <f t="shared" si="1"/>
        <v>0</v>
      </c>
    </row>
    <row r="711" ht="14.25" customHeight="1">
      <c r="B711" s="84" t="str">
        <f t="array" ref="B711">IFERROR(INDEX(Activos!$B$3:$C$16, MATCH(C711,Activos!$B$3:$B$16),2),"")</f>
        <v/>
      </c>
      <c r="C711" s="84"/>
      <c r="D711" s="84"/>
      <c r="E711" s="76"/>
      <c r="F711" s="76" t="str">
        <f>IF(E711='Tablas AR'!$B$4,1,IF('Análisis de Riesgos'!E711='Tablas AR'!$B$5,2,IF('Análisis de Riesgos'!E711='Tablas AR'!$B$6,3,"")))</f>
        <v/>
      </c>
      <c r="G711" s="76"/>
      <c r="H711" s="76" t="str">
        <f>IF(G711='Tablas AR'!$B$10,1,IF('Análisis de Riesgos'!G711='Tablas AR'!$B$11,2,IF('Análisis de Riesgos'!G711='Tablas AR'!$B$12,3,"")))</f>
        <v/>
      </c>
      <c r="I711" s="76">
        <f t="shared" si="1"/>
        <v>0</v>
      </c>
    </row>
    <row r="712" ht="14.25" customHeight="1">
      <c r="B712" s="84" t="str">
        <f t="array" ref="B712">IFERROR(INDEX(Activos!$B$3:$C$16, MATCH(C712,Activos!$B$3:$B$16),2),"")</f>
        <v/>
      </c>
      <c r="C712" s="84"/>
      <c r="D712" s="84"/>
      <c r="E712" s="76"/>
      <c r="F712" s="76" t="str">
        <f>IF(E712='Tablas AR'!$B$4,1,IF('Análisis de Riesgos'!E712='Tablas AR'!$B$5,2,IF('Análisis de Riesgos'!E712='Tablas AR'!$B$6,3,"")))</f>
        <v/>
      </c>
      <c r="G712" s="76"/>
      <c r="H712" s="76" t="str">
        <f>IF(G712='Tablas AR'!$B$10,1,IF('Análisis de Riesgos'!G712='Tablas AR'!$B$11,2,IF('Análisis de Riesgos'!G712='Tablas AR'!$B$12,3,"")))</f>
        <v/>
      </c>
      <c r="I712" s="76">
        <f t="shared" si="1"/>
        <v>0</v>
      </c>
    </row>
    <row r="713" ht="14.25" customHeight="1">
      <c r="B713" s="84" t="str">
        <f t="array" ref="B713">IFERROR(INDEX(Activos!$B$3:$C$16, MATCH(C713,Activos!$B$3:$B$16),2),"")</f>
        <v/>
      </c>
      <c r="C713" s="84"/>
      <c r="D713" s="84"/>
      <c r="E713" s="76"/>
      <c r="F713" s="76" t="str">
        <f>IF(E713='Tablas AR'!$B$4,1,IF('Análisis de Riesgos'!E713='Tablas AR'!$B$5,2,IF('Análisis de Riesgos'!E713='Tablas AR'!$B$6,3,"")))</f>
        <v/>
      </c>
      <c r="G713" s="76"/>
      <c r="H713" s="76" t="str">
        <f>IF(G713='Tablas AR'!$B$10,1,IF('Análisis de Riesgos'!G713='Tablas AR'!$B$11,2,IF('Análisis de Riesgos'!G713='Tablas AR'!$B$12,3,"")))</f>
        <v/>
      </c>
      <c r="I713" s="76">
        <f t="shared" si="1"/>
        <v>0</v>
      </c>
    </row>
    <row r="714" ht="14.25" customHeight="1">
      <c r="B714" s="84" t="str">
        <f t="array" ref="B714">IFERROR(INDEX(Activos!$B$3:$C$16, MATCH(C714,Activos!$B$3:$B$16),2),"")</f>
        <v/>
      </c>
      <c r="C714" s="84"/>
      <c r="D714" s="84"/>
      <c r="E714" s="76"/>
      <c r="F714" s="76" t="str">
        <f>IF(E714='Tablas AR'!$B$4,1,IF('Análisis de Riesgos'!E714='Tablas AR'!$B$5,2,IF('Análisis de Riesgos'!E714='Tablas AR'!$B$6,3,"")))</f>
        <v/>
      </c>
      <c r="G714" s="76"/>
      <c r="H714" s="76" t="str">
        <f>IF(G714='Tablas AR'!$B$10,1,IF('Análisis de Riesgos'!G714='Tablas AR'!$B$11,2,IF('Análisis de Riesgos'!G714='Tablas AR'!$B$12,3,"")))</f>
        <v/>
      </c>
      <c r="I714" s="76">
        <f t="shared" si="1"/>
        <v>0</v>
      </c>
    </row>
    <row r="715" ht="14.25" customHeight="1">
      <c r="B715" s="84" t="str">
        <f t="array" ref="B715">IFERROR(INDEX(Activos!$B$3:$C$16, MATCH(C715,Activos!$B$3:$B$16),2),"")</f>
        <v/>
      </c>
      <c r="C715" s="84"/>
      <c r="D715" s="84"/>
      <c r="E715" s="76"/>
      <c r="F715" s="76" t="str">
        <f>IF(E715='Tablas AR'!$B$4,1,IF('Análisis de Riesgos'!E715='Tablas AR'!$B$5,2,IF('Análisis de Riesgos'!E715='Tablas AR'!$B$6,3,"")))</f>
        <v/>
      </c>
      <c r="G715" s="76"/>
      <c r="H715" s="76" t="str">
        <f>IF(G715='Tablas AR'!$B$10,1,IF('Análisis de Riesgos'!G715='Tablas AR'!$B$11,2,IF('Análisis de Riesgos'!G715='Tablas AR'!$B$12,3,"")))</f>
        <v/>
      </c>
      <c r="I715" s="76">
        <f t="shared" si="1"/>
        <v>0</v>
      </c>
    </row>
    <row r="716" ht="14.25" customHeight="1">
      <c r="B716" s="84" t="str">
        <f t="array" ref="B716">IFERROR(INDEX(Activos!$B$3:$C$16, MATCH(C716,Activos!$B$3:$B$16),2),"")</f>
        <v/>
      </c>
      <c r="C716" s="84"/>
      <c r="D716" s="84"/>
      <c r="E716" s="76"/>
      <c r="F716" s="76" t="str">
        <f>IF(E716='Tablas AR'!$B$4,1,IF('Análisis de Riesgos'!E716='Tablas AR'!$B$5,2,IF('Análisis de Riesgos'!E716='Tablas AR'!$B$6,3,"")))</f>
        <v/>
      </c>
      <c r="G716" s="76"/>
      <c r="H716" s="76" t="str">
        <f>IF(G716='Tablas AR'!$B$10,1,IF('Análisis de Riesgos'!G716='Tablas AR'!$B$11,2,IF('Análisis de Riesgos'!G716='Tablas AR'!$B$12,3,"")))</f>
        <v/>
      </c>
      <c r="I716" s="76">
        <f t="shared" si="1"/>
        <v>0</v>
      </c>
    </row>
    <row r="717" ht="14.25" customHeight="1">
      <c r="B717" s="84" t="str">
        <f t="array" ref="B717">IFERROR(INDEX(Activos!$B$3:$C$16, MATCH(C717,Activos!$B$3:$B$16),2),"")</f>
        <v/>
      </c>
      <c r="C717" s="84"/>
      <c r="D717" s="84"/>
      <c r="E717" s="76"/>
      <c r="F717" s="76" t="str">
        <f>IF(E717='Tablas AR'!$B$4,1,IF('Análisis de Riesgos'!E717='Tablas AR'!$B$5,2,IF('Análisis de Riesgos'!E717='Tablas AR'!$B$6,3,"")))</f>
        <v/>
      </c>
      <c r="G717" s="76"/>
      <c r="H717" s="76" t="str">
        <f>IF(G717='Tablas AR'!$B$10,1,IF('Análisis de Riesgos'!G717='Tablas AR'!$B$11,2,IF('Análisis de Riesgos'!G717='Tablas AR'!$B$12,3,"")))</f>
        <v/>
      </c>
      <c r="I717" s="76">
        <f t="shared" si="1"/>
        <v>0</v>
      </c>
    </row>
    <row r="718" ht="14.25" customHeight="1">
      <c r="B718" s="84" t="str">
        <f t="array" ref="B718">IFERROR(INDEX(Activos!$B$3:$C$16, MATCH(C718,Activos!$B$3:$B$16),2),"")</f>
        <v/>
      </c>
      <c r="C718" s="84"/>
      <c r="D718" s="84"/>
      <c r="E718" s="76"/>
      <c r="F718" s="76" t="str">
        <f>IF(E718='Tablas AR'!$B$4,1,IF('Análisis de Riesgos'!E718='Tablas AR'!$B$5,2,IF('Análisis de Riesgos'!E718='Tablas AR'!$B$6,3,"")))</f>
        <v/>
      </c>
      <c r="G718" s="76"/>
      <c r="H718" s="76" t="str">
        <f>IF(G718='Tablas AR'!$B$10,1,IF('Análisis de Riesgos'!G718='Tablas AR'!$B$11,2,IF('Análisis de Riesgos'!G718='Tablas AR'!$B$12,3,"")))</f>
        <v/>
      </c>
      <c r="I718" s="76">
        <f t="shared" si="1"/>
        <v>0</v>
      </c>
    </row>
    <row r="719" ht="14.25" customHeight="1">
      <c r="B719" s="84" t="str">
        <f t="array" ref="B719">IFERROR(INDEX(Activos!$B$3:$C$16, MATCH(C719,Activos!$B$3:$B$16),2),"")</f>
        <v/>
      </c>
      <c r="C719" s="84"/>
      <c r="D719" s="84"/>
      <c r="E719" s="76"/>
      <c r="F719" s="76" t="str">
        <f>IF(E719='Tablas AR'!$B$4,1,IF('Análisis de Riesgos'!E719='Tablas AR'!$B$5,2,IF('Análisis de Riesgos'!E719='Tablas AR'!$B$6,3,"")))</f>
        <v/>
      </c>
      <c r="G719" s="76"/>
      <c r="H719" s="76" t="str">
        <f>IF(G719='Tablas AR'!$B$10,1,IF('Análisis de Riesgos'!G719='Tablas AR'!$B$11,2,IF('Análisis de Riesgos'!G719='Tablas AR'!$B$12,3,"")))</f>
        <v/>
      </c>
      <c r="I719" s="76">
        <f t="shared" si="1"/>
        <v>0</v>
      </c>
    </row>
    <row r="720" ht="14.25" customHeight="1">
      <c r="B720" s="84" t="str">
        <f t="array" ref="B720">IFERROR(INDEX(Activos!$B$3:$C$16, MATCH(C720,Activos!$B$3:$B$16),2),"")</f>
        <v/>
      </c>
      <c r="C720" s="84"/>
      <c r="D720" s="84"/>
      <c r="E720" s="76"/>
      <c r="F720" s="76" t="str">
        <f>IF(E720='Tablas AR'!$B$4,1,IF('Análisis de Riesgos'!E720='Tablas AR'!$B$5,2,IF('Análisis de Riesgos'!E720='Tablas AR'!$B$6,3,"")))</f>
        <v/>
      </c>
      <c r="G720" s="76"/>
      <c r="H720" s="76" t="str">
        <f>IF(G720='Tablas AR'!$B$10,1,IF('Análisis de Riesgos'!G720='Tablas AR'!$B$11,2,IF('Análisis de Riesgos'!G720='Tablas AR'!$B$12,3,"")))</f>
        <v/>
      </c>
      <c r="I720" s="76">
        <f t="shared" si="1"/>
        <v>0</v>
      </c>
    </row>
    <row r="721" ht="14.25" customHeight="1">
      <c r="B721" s="84" t="str">
        <f t="array" ref="B721">IFERROR(INDEX(Activos!$B$3:$C$16, MATCH(C721,Activos!$B$3:$B$16),2),"")</f>
        <v/>
      </c>
      <c r="C721" s="84"/>
      <c r="D721" s="84"/>
      <c r="E721" s="76"/>
      <c r="F721" s="76" t="str">
        <f>IF(E721='Tablas AR'!$B$4,1,IF('Análisis de Riesgos'!E721='Tablas AR'!$B$5,2,IF('Análisis de Riesgos'!E721='Tablas AR'!$B$6,3,"")))</f>
        <v/>
      </c>
      <c r="G721" s="76"/>
      <c r="H721" s="76" t="str">
        <f>IF(G721='Tablas AR'!$B$10,1,IF('Análisis de Riesgos'!G721='Tablas AR'!$B$11,2,IF('Análisis de Riesgos'!G721='Tablas AR'!$B$12,3,"")))</f>
        <v/>
      </c>
      <c r="I721" s="76">
        <f t="shared" si="1"/>
        <v>0</v>
      </c>
    </row>
    <row r="722" ht="14.25" customHeight="1">
      <c r="B722" s="84" t="str">
        <f t="array" ref="B722">IFERROR(INDEX(Activos!$B$3:$C$16, MATCH(C722,Activos!$B$3:$B$16),2),"")</f>
        <v/>
      </c>
      <c r="C722" s="84"/>
      <c r="D722" s="84"/>
      <c r="E722" s="76"/>
      <c r="F722" s="76" t="str">
        <f>IF(E722='Tablas AR'!$B$4,1,IF('Análisis de Riesgos'!E722='Tablas AR'!$B$5,2,IF('Análisis de Riesgos'!E722='Tablas AR'!$B$6,3,"")))</f>
        <v/>
      </c>
      <c r="G722" s="76"/>
      <c r="H722" s="76" t="str">
        <f>IF(G722='Tablas AR'!$B$10,1,IF('Análisis de Riesgos'!G722='Tablas AR'!$B$11,2,IF('Análisis de Riesgos'!G722='Tablas AR'!$B$12,3,"")))</f>
        <v/>
      </c>
      <c r="I722" s="76">
        <f t="shared" si="1"/>
        <v>0</v>
      </c>
    </row>
    <row r="723" ht="14.25" customHeight="1">
      <c r="B723" s="84" t="str">
        <f t="array" ref="B723">IFERROR(INDEX(Activos!$B$3:$C$16, MATCH(C723,Activos!$B$3:$B$16),2),"")</f>
        <v/>
      </c>
      <c r="C723" s="84"/>
      <c r="D723" s="84"/>
      <c r="E723" s="76"/>
      <c r="F723" s="76" t="str">
        <f>IF(E723='Tablas AR'!$B$4,1,IF('Análisis de Riesgos'!E723='Tablas AR'!$B$5,2,IF('Análisis de Riesgos'!E723='Tablas AR'!$B$6,3,"")))</f>
        <v/>
      </c>
      <c r="G723" s="76"/>
      <c r="H723" s="76" t="str">
        <f>IF(G723='Tablas AR'!$B$10,1,IF('Análisis de Riesgos'!G723='Tablas AR'!$B$11,2,IF('Análisis de Riesgos'!G723='Tablas AR'!$B$12,3,"")))</f>
        <v/>
      </c>
      <c r="I723" s="76">
        <f t="shared" si="1"/>
        <v>0</v>
      </c>
    </row>
    <row r="724" ht="14.25" customHeight="1">
      <c r="B724" s="84" t="str">
        <f t="array" ref="B724">IFERROR(INDEX(Activos!$B$3:$C$16, MATCH(C724,Activos!$B$3:$B$16),2),"")</f>
        <v/>
      </c>
      <c r="C724" s="84"/>
      <c r="D724" s="84"/>
      <c r="E724" s="76"/>
      <c r="F724" s="76" t="str">
        <f>IF(E724='Tablas AR'!$B$4,1,IF('Análisis de Riesgos'!E724='Tablas AR'!$B$5,2,IF('Análisis de Riesgos'!E724='Tablas AR'!$B$6,3,"")))</f>
        <v/>
      </c>
      <c r="G724" s="76"/>
      <c r="H724" s="76" t="str">
        <f>IF(G724='Tablas AR'!$B$10,1,IF('Análisis de Riesgos'!G724='Tablas AR'!$B$11,2,IF('Análisis de Riesgos'!G724='Tablas AR'!$B$12,3,"")))</f>
        <v/>
      </c>
      <c r="I724" s="76">
        <f t="shared" si="1"/>
        <v>0</v>
      </c>
    </row>
    <row r="725" ht="14.25" customHeight="1">
      <c r="B725" s="84" t="str">
        <f t="array" ref="B725">IFERROR(INDEX(Activos!$B$3:$C$16, MATCH(C725,Activos!$B$3:$B$16),2),"")</f>
        <v/>
      </c>
      <c r="C725" s="84"/>
      <c r="D725" s="84"/>
      <c r="E725" s="76"/>
      <c r="F725" s="76" t="str">
        <f>IF(E725='Tablas AR'!$B$4,1,IF('Análisis de Riesgos'!E725='Tablas AR'!$B$5,2,IF('Análisis de Riesgos'!E725='Tablas AR'!$B$6,3,"")))</f>
        <v/>
      </c>
      <c r="G725" s="76"/>
      <c r="H725" s="76" t="str">
        <f>IF(G725='Tablas AR'!$B$10,1,IF('Análisis de Riesgos'!G725='Tablas AR'!$B$11,2,IF('Análisis de Riesgos'!G725='Tablas AR'!$B$12,3,"")))</f>
        <v/>
      </c>
      <c r="I725" s="76">
        <f t="shared" si="1"/>
        <v>0</v>
      </c>
    </row>
    <row r="726" ht="14.25" customHeight="1">
      <c r="B726" s="84" t="str">
        <f t="array" ref="B726">IFERROR(INDEX(Activos!$B$3:$C$16, MATCH(C726,Activos!$B$3:$B$16),2),"")</f>
        <v/>
      </c>
      <c r="C726" s="84"/>
      <c r="D726" s="84"/>
      <c r="E726" s="76"/>
      <c r="F726" s="76" t="str">
        <f>IF(E726='Tablas AR'!$B$4,1,IF('Análisis de Riesgos'!E726='Tablas AR'!$B$5,2,IF('Análisis de Riesgos'!E726='Tablas AR'!$B$6,3,"")))</f>
        <v/>
      </c>
      <c r="G726" s="76"/>
      <c r="H726" s="76" t="str">
        <f>IF(G726='Tablas AR'!$B$10,1,IF('Análisis de Riesgos'!G726='Tablas AR'!$B$11,2,IF('Análisis de Riesgos'!G726='Tablas AR'!$B$12,3,"")))</f>
        <v/>
      </c>
      <c r="I726" s="76">
        <f t="shared" si="1"/>
        <v>0</v>
      </c>
    </row>
    <row r="727" ht="14.25" customHeight="1">
      <c r="B727" s="84" t="str">
        <f t="array" ref="B727">IFERROR(INDEX(Activos!$B$3:$C$16, MATCH(C727,Activos!$B$3:$B$16),2),"")</f>
        <v/>
      </c>
      <c r="C727" s="84"/>
      <c r="D727" s="84"/>
      <c r="E727" s="76"/>
      <c r="F727" s="76" t="str">
        <f>IF(E727='Tablas AR'!$B$4,1,IF('Análisis de Riesgos'!E727='Tablas AR'!$B$5,2,IF('Análisis de Riesgos'!E727='Tablas AR'!$B$6,3,"")))</f>
        <v/>
      </c>
      <c r="G727" s="76"/>
      <c r="H727" s="76" t="str">
        <f>IF(G727='Tablas AR'!$B$10,1,IF('Análisis de Riesgos'!G727='Tablas AR'!$B$11,2,IF('Análisis de Riesgos'!G727='Tablas AR'!$B$12,3,"")))</f>
        <v/>
      </c>
      <c r="I727" s="76">
        <f t="shared" si="1"/>
        <v>0</v>
      </c>
    </row>
    <row r="728" ht="14.25" customHeight="1">
      <c r="B728" s="84" t="str">
        <f t="array" ref="B728">IFERROR(INDEX(Activos!$B$3:$C$16, MATCH(C728,Activos!$B$3:$B$16),2),"")</f>
        <v/>
      </c>
      <c r="C728" s="84"/>
      <c r="D728" s="84"/>
      <c r="E728" s="76"/>
      <c r="F728" s="76" t="str">
        <f>IF(E728='Tablas AR'!$B$4,1,IF('Análisis de Riesgos'!E728='Tablas AR'!$B$5,2,IF('Análisis de Riesgos'!E728='Tablas AR'!$B$6,3,"")))</f>
        <v/>
      </c>
      <c r="G728" s="76"/>
      <c r="H728" s="76" t="str">
        <f>IF(G728='Tablas AR'!$B$10,1,IF('Análisis de Riesgos'!G728='Tablas AR'!$B$11,2,IF('Análisis de Riesgos'!G728='Tablas AR'!$B$12,3,"")))</f>
        <v/>
      </c>
      <c r="I728" s="76">
        <f t="shared" si="1"/>
        <v>0</v>
      </c>
    </row>
    <row r="729" ht="14.25" customHeight="1">
      <c r="B729" s="84" t="str">
        <f t="array" ref="B729">IFERROR(INDEX(Activos!$B$3:$C$16, MATCH(C729,Activos!$B$3:$B$16),2),"")</f>
        <v/>
      </c>
      <c r="C729" s="84"/>
      <c r="D729" s="84"/>
      <c r="E729" s="76"/>
      <c r="F729" s="76" t="str">
        <f>IF(E729='Tablas AR'!$B$4,1,IF('Análisis de Riesgos'!E729='Tablas AR'!$B$5,2,IF('Análisis de Riesgos'!E729='Tablas AR'!$B$6,3,"")))</f>
        <v/>
      </c>
      <c r="G729" s="76"/>
      <c r="H729" s="76" t="str">
        <f>IF(G729='Tablas AR'!$B$10,1,IF('Análisis de Riesgos'!G729='Tablas AR'!$B$11,2,IF('Análisis de Riesgos'!G729='Tablas AR'!$B$12,3,"")))</f>
        <v/>
      </c>
      <c r="I729" s="76">
        <f t="shared" si="1"/>
        <v>0</v>
      </c>
    </row>
    <row r="730" ht="14.25" customHeight="1">
      <c r="B730" s="84" t="str">
        <f t="array" ref="B730">IFERROR(INDEX(Activos!$B$3:$C$16, MATCH(C730,Activos!$B$3:$B$16),2),"")</f>
        <v/>
      </c>
      <c r="C730" s="84"/>
      <c r="D730" s="84"/>
      <c r="E730" s="76"/>
      <c r="F730" s="76" t="str">
        <f>IF(E730='Tablas AR'!$B$4,1,IF('Análisis de Riesgos'!E730='Tablas AR'!$B$5,2,IF('Análisis de Riesgos'!E730='Tablas AR'!$B$6,3,"")))</f>
        <v/>
      </c>
      <c r="G730" s="76"/>
      <c r="H730" s="76" t="str">
        <f>IF(G730='Tablas AR'!$B$10,1,IF('Análisis de Riesgos'!G730='Tablas AR'!$B$11,2,IF('Análisis de Riesgos'!G730='Tablas AR'!$B$12,3,"")))</f>
        <v/>
      </c>
      <c r="I730" s="76">
        <f t="shared" si="1"/>
        <v>0</v>
      </c>
    </row>
    <row r="731" ht="14.25" customHeight="1">
      <c r="B731" s="84" t="str">
        <f t="array" ref="B731">IFERROR(INDEX(Activos!$B$3:$C$16, MATCH(C731,Activos!$B$3:$B$16),2),"")</f>
        <v/>
      </c>
      <c r="C731" s="84"/>
      <c r="D731" s="84"/>
      <c r="E731" s="76"/>
      <c r="F731" s="76" t="str">
        <f>IF(E731='Tablas AR'!$B$4,1,IF('Análisis de Riesgos'!E731='Tablas AR'!$B$5,2,IF('Análisis de Riesgos'!E731='Tablas AR'!$B$6,3,"")))</f>
        <v/>
      </c>
      <c r="G731" s="76"/>
      <c r="H731" s="76" t="str">
        <f>IF(G731='Tablas AR'!$B$10,1,IF('Análisis de Riesgos'!G731='Tablas AR'!$B$11,2,IF('Análisis de Riesgos'!G731='Tablas AR'!$B$12,3,"")))</f>
        <v/>
      </c>
      <c r="I731" s="76">
        <f t="shared" si="1"/>
        <v>0</v>
      </c>
    </row>
    <row r="732" ht="14.25" customHeight="1">
      <c r="B732" s="84" t="str">
        <f t="array" ref="B732">IFERROR(INDEX(Activos!$B$3:$C$16, MATCH(C732,Activos!$B$3:$B$16),2),"")</f>
        <v/>
      </c>
      <c r="C732" s="84"/>
      <c r="D732" s="84"/>
      <c r="E732" s="76"/>
      <c r="F732" s="76" t="str">
        <f>IF(E732='Tablas AR'!$B$4,1,IF('Análisis de Riesgos'!E732='Tablas AR'!$B$5,2,IF('Análisis de Riesgos'!E732='Tablas AR'!$B$6,3,"")))</f>
        <v/>
      </c>
      <c r="G732" s="76"/>
      <c r="H732" s="76" t="str">
        <f>IF(G732='Tablas AR'!$B$10,1,IF('Análisis de Riesgos'!G732='Tablas AR'!$B$11,2,IF('Análisis de Riesgos'!G732='Tablas AR'!$B$12,3,"")))</f>
        <v/>
      </c>
      <c r="I732" s="76">
        <f t="shared" si="1"/>
        <v>0</v>
      </c>
    </row>
    <row r="733" ht="14.25" customHeight="1">
      <c r="B733" s="84" t="str">
        <f t="array" ref="B733">IFERROR(INDEX(Activos!$B$3:$C$16, MATCH(C733,Activos!$B$3:$B$16),2),"")</f>
        <v/>
      </c>
      <c r="C733" s="84"/>
      <c r="D733" s="84"/>
      <c r="E733" s="76"/>
      <c r="F733" s="76" t="str">
        <f>IF(E733='Tablas AR'!$B$4,1,IF('Análisis de Riesgos'!E733='Tablas AR'!$B$5,2,IF('Análisis de Riesgos'!E733='Tablas AR'!$B$6,3,"")))</f>
        <v/>
      </c>
      <c r="G733" s="76"/>
      <c r="H733" s="76" t="str">
        <f>IF(G733='Tablas AR'!$B$10,1,IF('Análisis de Riesgos'!G733='Tablas AR'!$B$11,2,IF('Análisis de Riesgos'!G733='Tablas AR'!$B$12,3,"")))</f>
        <v/>
      </c>
      <c r="I733" s="76">
        <f t="shared" si="1"/>
        <v>0</v>
      </c>
    </row>
    <row r="734" ht="14.25" customHeight="1">
      <c r="B734" s="84" t="str">
        <f t="array" ref="B734">IFERROR(INDEX(Activos!$B$3:$C$16, MATCH(C734,Activos!$B$3:$B$16),2),"")</f>
        <v/>
      </c>
      <c r="C734" s="84"/>
      <c r="D734" s="84"/>
      <c r="E734" s="76"/>
      <c r="F734" s="76" t="str">
        <f>IF(E734='Tablas AR'!$B$4,1,IF('Análisis de Riesgos'!E734='Tablas AR'!$B$5,2,IF('Análisis de Riesgos'!E734='Tablas AR'!$B$6,3,"")))</f>
        <v/>
      </c>
      <c r="G734" s="76"/>
      <c r="H734" s="76" t="str">
        <f>IF(G734='Tablas AR'!$B$10,1,IF('Análisis de Riesgos'!G734='Tablas AR'!$B$11,2,IF('Análisis de Riesgos'!G734='Tablas AR'!$B$12,3,"")))</f>
        <v/>
      </c>
      <c r="I734" s="76">
        <f t="shared" si="1"/>
        <v>0</v>
      </c>
    </row>
    <row r="735" ht="14.25" customHeight="1">
      <c r="B735" s="84" t="str">
        <f t="array" ref="B735">IFERROR(INDEX(Activos!$B$3:$C$16, MATCH(C735,Activos!$B$3:$B$16),2),"")</f>
        <v/>
      </c>
      <c r="C735" s="84"/>
      <c r="D735" s="84"/>
      <c r="E735" s="76"/>
      <c r="F735" s="76" t="str">
        <f>IF(E735='Tablas AR'!$B$4,1,IF('Análisis de Riesgos'!E735='Tablas AR'!$B$5,2,IF('Análisis de Riesgos'!E735='Tablas AR'!$B$6,3,"")))</f>
        <v/>
      </c>
      <c r="G735" s="76"/>
      <c r="H735" s="76" t="str">
        <f>IF(G735='Tablas AR'!$B$10,1,IF('Análisis de Riesgos'!G735='Tablas AR'!$B$11,2,IF('Análisis de Riesgos'!G735='Tablas AR'!$B$12,3,"")))</f>
        <v/>
      </c>
      <c r="I735" s="76">
        <f t="shared" si="1"/>
        <v>0</v>
      </c>
    </row>
    <row r="736" ht="14.25" customHeight="1">
      <c r="B736" s="84" t="str">
        <f t="array" ref="B736">IFERROR(INDEX(Activos!$B$3:$C$16, MATCH(C736,Activos!$B$3:$B$16),2),"")</f>
        <v/>
      </c>
      <c r="C736" s="84"/>
      <c r="D736" s="84"/>
      <c r="E736" s="76"/>
      <c r="F736" s="76" t="str">
        <f>IF(E736='Tablas AR'!$B$4,1,IF('Análisis de Riesgos'!E736='Tablas AR'!$B$5,2,IF('Análisis de Riesgos'!E736='Tablas AR'!$B$6,3,"")))</f>
        <v/>
      </c>
      <c r="G736" s="76"/>
      <c r="H736" s="76" t="str">
        <f>IF(G736='Tablas AR'!$B$10,1,IF('Análisis de Riesgos'!G736='Tablas AR'!$B$11,2,IF('Análisis de Riesgos'!G736='Tablas AR'!$B$12,3,"")))</f>
        <v/>
      </c>
      <c r="I736" s="76">
        <f t="shared" si="1"/>
        <v>0</v>
      </c>
    </row>
    <row r="737" ht="14.25" customHeight="1">
      <c r="B737" s="84" t="str">
        <f t="array" ref="B737">IFERROR(INDEX(Activos!$B$3:$C$16, MATCH(C737,Activos!$B$3:$B$16),2),"")</f>
        <v/>
      </c>
      <c r="C737" s="84"/>
      <c r="D737" s="84"/>
      <c r="E737" s="76"/>
      <c r="F737" s="76" t="str">
        <f>IF(E737='Tablas AR'!$B$4,1,IF('Análisis de Riesgos'!E737='Tablas AR'!$B$5,2,IF('Análisis de Riesgos'!E737='Tablas AR'!$B$6,3,"")))</f>
        <v/>
      </c>
      <c r="G737" s="76"/>
      <c r="H737" s="76" t="str">
        <f>IF(G737='Tablas AR'!$B$10,1,IF('Análisis de Riesgos'!G737='Tablas AR'!$B$11,2,IF('Análisis de Riesgos'!G737='Tablas AR'!$B$12,3,"")))</f>
        <v/>
      </c>
      <c r="I737" s="76">
        <f t="shared" si="1"/>
        <v>0</v>
      </c>
    </row>
    <row r="738" ht="14.25" customHeight="1">
      <c r="B738" s="84" t="str">
        <f t="array" ref="B738">IFERROR(INDEX(Activos!$B$3:$C$16, MATCH(C738,Activos!$B$3:$B$16),2),"")</f>
        <v/>
      </c>
      <c r="C738" s="84"/>
      <c r="D738" s="84"/>
      <c r="E738" s="76"/>
      <c r="F738" s="76" t="str">
        <f>IF(E738='Tablas AR'!$B$4,1,IF('Análisis de Riesgos'!E738='Tablas AR'!$B$5,2,IF('Análisis de Riesgos'!E738='Tablas AR'!$B$6,3,"")))</f>
        <v/>
      </c>
      <c r="G738" s="76"/>
      <c r="H738" s="76" t="str">
        <f>IF(G738='Tablas AR'!$B$10,1,IF('Análisis de Riesgos'!G738='Tablas AR'!$B$11,2,IF('Análisis de Riesgos'!G738='Tablas AR'!$B$12,3,"")))</f>
        <v/>
      </c>
      <c r="I738" s="76">
        <f t="shared" si="1"/>
        <v>0</v>
      </c>
    </row>
    <row r="739" ht="14.25" customHeight="1">
      <c r="B739" s="84" t="str">
        <f t="array" ref="B739">IFERROR(INDEX(Activos!$B$3:$C$16, MATCH(C739,Activos!$B$3:$B$16),2),"")</f>
        <v/>
      </c>
      <c r="C739" s="84"/>
      <c r="D739" s="84"/>
      <c r="E739" s="76"/>
      <c r="F739" s="76" t="str">
        <f>IF(E739='Tablas AR'!$B$4,1,IF('Análisis de Riesgos'!E739='Tablas AR'!$B$5,2,IF('Análisis de Riesgos'!E739='Tablas AR'!$B$6,3,"")))</f>
        <v/>
      </c>
      <c r="G739" s="76"/>
      <c r="H739" s="76" t="str">
        <f>IF(G739='Tablas AR'!$B$10,1,IF('Análisis de Riesgos'!G739='Tablas AR'!$B$11,2,IF('Análisis de Riesgos'!G739='Tablas AR'!$B$12,3,"")))</f>
        <v/>
      </c>
      <c r="I739" s="76">
        <f t="shared" si="1"/>
        <v>0</v>
      </c>
    </row>
    <row r="740" ht="14.25" customHeight="1">
      <c r="B740" s="84" t="str">
        <f t="array" ref="B740">IFERROR(INDEX(Activos!$B$3:$C$16, MATCH(C740,Activos!$B$3:$B$16),2),"")</f>
        <v/>
      </c>
      <c r="C740" s="84"/>
      <c r="D740" s="84"/>
      <c r="E740" s="76"/>
      <c r="F740" s="76" t="str">
        <f>IF(E740='Tablas AR'!$B$4,1,IF('Análisis de Riesgos'!E740='Tablas AR'!$B$5,2,IF('Análisis de Riesgos'!E740='Tablas AR'!$B$6,3,"")))</f>
        <v/>
      </c>
      <c r="G740" s="76"/>
      <c r="H740" s="76" t="str">
        <f>IF(G740='Tablas AR'!$B$10,1,IF('Análisis de Riesgos'!G740='Tablas AR'!$B$11,2,IF('Análisis de Riesgos'!G740='Tablas AR'!$B$12,3,"")))</f>
        <v/>
      </c>
      <c r="I740" s="76">
        <f t="shared" si="1"/>
        <v>0</v>
      </c>
    </row>
    <row r="741" ht="14.25" customHeight="1">
      <c r="B741" s="84" t="str">
        <f t="array" ref="B741">IFERROR(INDEX(Activos!$B$3:$C$16, MATCH(C741,Activos!$B$3:$B$16),2),"")</f>
        <v/>
      </c>
      <c r="C741" s="84"/>
      <c r="D741" s="84"/>
      <c r="E741" s="76"/>
      <c r="F741" s="76" t="str">
        <f>IF(E741='Tablas AR'!$B$4,1,IF('Análisis de Riesgos'!E741='Tablas AR'!$B$5,2,IF('Análisis de Riesgos'!E741='Tablas AR'!$B$6,3,"")))</f>
        <v/>
      </c>
      <c r="G741" s="76"/>
      <c r="H741" s="76" t="str">
        <f>IF(G741='Tablas AR'!$B$10,1,IF('Análisis de Riesgos'!G741='Tablas AR'!$B$11,2,IF('Análisis de Riesgos'!G741='Tablas AR'!$B$12,3,"")))</f>
        <v/>
      </c>
      <c r="I741" s="76">
        <f t="shared" si="1"/>
        <v>0</v>
      </c>
    </row>
    <row r="742" ht="14.25" customHeight="1">
      <c r="B742" s="84" t="str">
        <f t="array" ref="B742">IFERROR(INDEX(Activos!$B$3:$C$16, MATCH(C742,Activos!$B$3:$B$16),2),"")</f>
        <v/>
      </c>
      <c r="C742" s="84"/>
      <c r="D742" s="84"/>
      <c r="E742" s="76"/>
      <c r="F742" s="76" t="str">
        <f>IF(E742='Tablas AR'!$B$4,1,IF('Análisis de Riesgos'!E742='Tablas AR'!$B$5,2,IF('Análisis de Riesgos'!E742='Tablas AR'!$B$6,3,"")))</f>
        <v/>
      </c>
      <c r="G742" s="76"/>
      <c r="H742" s="76" t="str">
        <f>IF(G742='Tablas AR'!$B$10,1,IF('Análisis de Riesgos'!G742='Tablas AR'!$B$11,2,IF('Análisis de Riesgos'!G742='Tablas AR'!$B$12,3,"")))</f>
        <v/>
      </c>
      <c r="I742" s="76">
        <f t="shared" si="1"/>
        <v>0</v>
      </c>
    </row>
    <row r="743" ht="14.25" customHeight="1">
      <c r="B743" s="84" t="str">
        <f t="array" ref="B743">IFERROR(INDEX(Activos!$B$3:$C$16, MATCH(C743,Activos!$B$3:$B$16),2),"")</f>
        <v/>
      </c>
      <c r="C743" s="84"/>
      <c r="D743" s="84"/>
      <c r="E743" s="76"/>
      <c r="F743" s="76" t="str">
        <f>IF(E743='Tablas AR'!$B$4,1,IF('Análisis de Riesgos'!E743='Tablas AR'!$B$5,2,IF('Análisis de Riesgos'!E743='Tablas AR'!$B$6,3,"")))</f>
        <v/>
      </c>
      <c r="G743" s="76"/>
      <c r="H743" s="76" t="str">
        <f>IF(G743='Tablas AR'!$B$10,1,IF('Análisis de Riesgos'!G743='Tablas AR'!$B$11,2,IF('Análisis de Riesgos'!G743='Tablas AR'!$B$12,3,"")))</f>
        <v/>
      </c>
      <c r="I743" s="76">
        <f t="shared" si="1"/>
        <v>0</v>
      </c>
    </row>
    <row r="744" ht="14.25" customHeight="1">
      <c r="B744" s="84" t="str">
        <f t="array" ref="B744">IFERROR(INDEX(Activos!$B$3:$C$16, MATCH(C744,Activos!$B$3:$B$16),2),"")</f>
        <v/>
      </c>
      <c r="C744" s="84"/>
      <c r="D744" s="84"/>
      <c r="E744" s="76"/>
      <c r="F744" s="76" t="str">
        <f>IF(E744='Tablas AR'!$B$4,1,IF('Análisis de Riesgos'!E744='Tablas AR'!$B$5,2,IF('Análisis de Riesgos'!E744='Tablas AR'!$B$6,3,"")))</f>
        <v/>
      </c>
      <c r="G744" s="76"/>
      <c r="H744" s="76" t="str">
        <f>IF(G744='Tablas AR'!$B$10,1,IF('Análisis de Riesgos'!G744='Tablas AR'!$B$11,2,IF('Análisis de Riesgos'!G744='Tablas AR'!$B$12,3,"")))</f>
        <v/>
      </c>
      <c r="I744" s="76">
        <f t="shared" si="1"/>
        <v>0</v>
      </c>
    </row>
    <row r="745" ht="14.25" customHeight="1">
      <c r="B745" s="84" t="str">
        <f t="array" ref="B745">IFERROR(INDEX(Activos!$B$3:$C$16, MATCH(C745,Activos!$B$3:$B$16),2),"")</f>
        <v/>
      </c>
      <c r="C745" s="84"/>
      <c r="D745" s="84"/>
      <c r="E745" s="76"/>
      <c r="F745" s="76" t="str">
        <f>IF(E745='Tablas AR'!$B$4,1,IF('Análisis de Riesgos'!E745='Tablas AR'!$B$5,2,IF('Análisis de Riesgos'!E745='Tablas AR'!$B$6,3,"")))</f>
        <v/>
      </c>
      <c r="G745" s="76"/>
      <c r="H745" s="76" t="str">
        <f>IF(G745='Tablas AR'!$B$10,1,IF('Análisis de Riesgos'!G745='Tablas AR'!$B$11,2,IF('Análisis de Riesgos'!G745='Tablas AR'!$B$12,3,"")))</f>
        <v/>
      </c>
      <c r="I745" s="76">
        <f t="shared" si="1"/>
        <v>0</v>
      </c>
    </row>
    <row r="746" ht="14.25" customHeight="1">
      <c r="B746" s="84" t="str">
        <f t="array" ref="B746">IFERROR(INDEX(Activos!$B$3:$C$16, MATCH(C746,Activos!$B$3:$B$16),2),"")</f>
        <v/>
      </c>
      <c r="C746" s="84"/>
      <c r="D746" s="84"/>
      <c r="E746" s="76"/>
      <c r="F746" s="76" t="str">
        <f>IF(E746='Tablas AR'!$B$4,1,IF('Análisis de Riesgos'!E746='Tablas AR'!$B$5,2,IF('Análisis de Riesgos'!E746='Tablas AR'!$B$6,3,"")))</f>
        <v/>
      </c>
      <c r="G746" s="76"/>
      <c r="H746" s="76" t="str">
        <f>IF(G746='Tablas AR'!$B$10,1,IF('Análisis de Riesgos'!G746='Tablas AR'!$B$11,2,IF('Análisis de Riesgos'!G746='Tablas AR'!$B$12,3,"")))</f>
        <v/>
      </c>
      <c r="I746" s="76">
        <f t="shared" si="1"/>
        <v>0</v>
      </c>
    </row>
    <row r="747" ht="14.25" customHeight="1">
      <c r="B747" s="84" t="str">
        <f t="array" ref="B747">IFERROR(INDEX(Activos!$B$3:$C$16, MATCH(C747,Activos!$B$3:$B$16),2),"")</f>
        <v/>
      </c>
      <c r="C747" s="84"/>
      <c r="D747" s="84"/>
      <c r="E747" s="76"/>
      <c r="F747" s="76" t="str">
        <f>IF(E747='Tablas AR'!$B$4,1,IF('Análisis de Riesgos'!E747='Tablas AR'!$B$5,2,IF('Análisis de Riesgos'!E747='Tablas AR'!$B$6,3,"")))</f>
        <v/>
      </c>
      <c r="G747" s="76"/>
      <c r="H747" s="76" t="str">
        <f>IF(G747='Tablas AR'!$B$10,1,IF('Análisis de Riesgos'!G747='Tablas AR'!$B$11,2,IF('Análisis de Riesgos'!G747='Tablas AR'!$B$12,3,"")))</f>
        <v/>
      </c>
      <c r="I747" s="76">
        <f t="shared" si="1"/>
        <v>0</v>
      </c>
    </row>
    <row r="748" ht="14.25" customHeight="1">
      <c r="B748" s="84" t="str">
        <f t="array" ref="B748">IFERROR(INDEX(Activos!$B$3:$C$16, MATCH(C748,Activos!$B$3:$B$16),2),"")</f>
        <v/>
      </c>
      <c r="C748" s="84"/>
      <c r="D748" s="84"/>
      <c r="E748" s="76"/>
      <c r="F748" s="76" t="str">
        <f>IF(E748='Tablas AR'!$B$4,1,IF('Análisis de Riesgos'!E748='Tablas AR'!$B$5,2,IF('Análisis de Riesgos'!E748='Tablas AR'!$B$6,3,"")))</f>
        <v/>
      </c>
      <c r="G748" s="76"/>
      <c r="H748" s="76" t="str">
        <f>IF(G748='Tablas AR'!$B$10,1,IF('Análisis de Riesgos'!G748='Tablas AR'!$B$11,2,IF('Análisis de Riesgos'!G748='Tablas AR'!$B$12,3,"")))</f>
        <v/>
      </c>
      <c r="I748" s="76">
        <f t="shared" si="1"/>
        <v>0</v>
      </c>
    </row>
    <row r="749" ht="14.25" customHeight="1">
      <c r="B749" s="84" t="str">
        <f t="array" ref="B749">IFERROR(INDEX(Activos!$B$3:$C$16, MATCH(C749,Activos!$B$3:$B$16),2),"")</f>
        <v/>
      </c>
      <c r="C749" s="84"/>
      <c r="D749" s="84"/>
      <c r="E749" s="76"/>
      <c r="F749" s="76" t="str">
        <f>IF(E749='Tablas AR'!$B$4,1,IF('Análisis de Riesgos'!E749='Tablas AR'!$B$5,2,IF('Análisis de Riesgos'!E749='Tablas AR'!$B$6,3,"")))</f>
        <v/>
      </c>
      <c r="G749" s="76"/>
      <c r="H749" s="76" t="str">
        <f>IF(G749='Tablas AR'!$B$10,1,IF('Análisis de Riesgos'!G749='Tablas AR'!$B$11,2,IF('Análisis de Riesgos'!G749='Tablas AR'!$B$12,3,"")))</f>
        <v/>
      </c>
      <c r="I749" s="76">
        <f t="shared" si="1"/>
        <v>0</v>
      </c>
    </row>
    <row r="750" ht="14.25" customHeight="1">
      <c r="B750" s="84" t="str">
        <f t="array" ref="B750">IFERROR(INDEX(Activos!$B$3:$C$16, MATCH(C750,Activos!$B$3:$B$16),2),"")</f>
        <v/>
      </c>
      <c r="C750" s="84"/>
      <c r="D750" s="84"/>
      <c r="E750" s="76"/>
      <c r="F750" s="76" t="str">
        <f>IF(E750='Tablas AR'!$B$4,1,IF('Análisis de Riesgos'!E750='Tablas AR'!$B$5,2,IF('Análisis de Riesgos'!E750='Tablas AR'!$B$6,3,"")))</f>
        <v/>
      </c>
      <c r="G750" s="76"/>
      <c r="H750" s="76" t="str">
        <f>IF(G750='Tablas AR'!$B$10,1,IF('Análisis de Riesgos'!G750='Tablas AR'!$B$11,2,IF('Análisis de Riesgos'!G750='Tablas AR'!$B$12,3,"")))</f>
        <v/>
      </c>
      <c r="I750" s="76">
        <f t="shared" si="1"/>
        <v>0</v>
      </c>
    </row>
    <row r="751" ht="14.25" customHeight="1">
      <c r="B751" s="84" t="str">
        <f t="array" ref="B751">IFERROR(INDEX(Activos!$B$3:$C$16, MATCH(C751,Activos!$B$3:$B$16),2),"")</f>
        <v/>
      </c>
      <c r="C751" s="84"/>
      <c r="D751" s="84"/>
      <c r="E751" s="76"/>
      <c r="F751" s="76" t="str">
        <f>IF(E751='Tablas AR'!$B$4,1,IF('Análisis de Riesgos'!E751='Tablas AR'!$B$5,2,IF('Análisis de Riesgos'!E751='Tablas AR'!$B$6,3,"")))</f>
        <v/>
      </c>
      <c r="G751" s="76"/>
      <c r="H751" s="76" t="str">
        <f>IF(G751='Tablas AR'!$B$10,1,IF('Análisis de Riesgos'!G751='Tablas AR'!$B$11,2,IF('Análisis de Riesgos'!G751='Tablas AR'!$B$12,3,"")))</f>
        <v/>
      </c>
      <c r="I751" s="76">
        <f t="shared" si="1"/>
        <v>0</v>
      </c>
    </row>
    <row r="752" ht="14.25" customHeight="1">
      <c r="B752" s="84" t="str">
        <f t="array" ref="B752">IFERROR(INDEX(Activos!$B$3:$C$16, MATCH(C752,Activos!$B$3:$B$16),2),"")</f>
        <v/>
      </c>
      <c r="C752" s="84"/>
      <c r="D752" s="84"/>
      <c r="E752" s="76"/>
      <c r="F752" s="76" t="str">
        <f>IF(E752='Tablas AR'!$B$4,1,IF('Análisis de Riesgos'!E752='Tablas AR'!$B$5,2,IF('Análisis de Riesgos'!E752='Tablas AR'!$B$6,3,"")))</f>
        <v/>
      </c>
      <c r="G752" s="76"/>
      <c r="H752" s="76" t="str">
        <f>IF(G752='Tablas AR'!$B$10,1,IF('Análisis de Riesgos'!G752='Tablas AR'!$B$11,2,IF('Análisis de Riesgos'!G752='Tablas AR'!$B$12,3,"")))</f>
        <v/>
      </c>
      <c r="I752" s="76">
        <f t="shared" si="1"/>
        <v>0</v>
      </c>
    </row>
    <row r="753" ht="14.25" customHeight="1">
      <c r="B753" s="84" t="str">
        <f t="array" ref="B753">IFERROR(INDEX(Activos!$B$3:$C$16, MATCH(C753,Activos!$B$3:$B$16),2),"")</f>
        <v/>
      </c>
      <c r="C753" s="84"/>
      <c r="D753" s="84"/>
      <c r="E753" s="76"/>
      <c r="F753" s="76" t="str">
        <f>IF(E753='Tablas AR'!$B$4,1,IF('Análisis de Riesgos'!E753='Tablas AR'!$B$5,2,IF('Análisis de Riesgos'!E753='Tablas AR'!$B$6,3,"")))</f>
        <v/>
      </c>
      <c r="G753" s="76"/>
      <c r="H753" s="76" t="str">
        <f>IF(G753='Tablas AR'!$B$10,1,IF('Análisis de Riesgos'!G753='Tablas AR'!$B$11,2,IF('Análisis de Riesgos'!G753='Tablas AR'!$B$12,3,"")))</f>
        <v/>
      </c>
      <c r="I753" s="76">
        <f t="shared" si="1"/>
        <v>0</v>
      </c>
    </row>
    <row r="754" ht="14.25" customHeight="1">
      <c r="B754" s="84" t="str">
        <f t="array" ref="B754">IFERROR(INDEX(Activos!$B$3:$C$16, MATCH(C754,Activos!$B$3:$B$16),2),"")</f>
        <v/>
      </c>
      <c r="C754" s="84"/>
      <c r="D754" s="84"/>
      <c r="E754" s="76"/>
      <c r="F754" s="76" t="str">
        <f>IF(E754='Tablas AR'!$B$4,1,IF('Análisis de Riesgos'!E754='Tablas AR'!$B$5,2,IF('Análisis de Riesgos'!E754='Tablas AR'!$B$6,3,"")))</f>
        <v/>
      </c>
      <c r="G754" s="76"/>
      <c r="H754" s="76" t="str">
        <f>IF(G754='Tablas AR'!$B$10,1,IF('Análisis de Riesgos'!G754='Tablas AR'!$B$11,2,IF('Análisis de Riesgos'!G754='Tablas AR'!$B$12,3,"")))</f>
        <v/>
      </c>
      <c r="I754" s="76">
        <f t="shared" si="1"/>
        <v>0</v>
      </c>
    </row>
    <row r="755" ht="14.25" customHeight="1">
      <c r="B755" s="84" t="str">
        <f t="array" ref="B755">IFERROR(INDEX(Activos!$B$3:$C$16, MATCH(C755,Activos!$B$3:$B$16),2),"")</f>
        <v/>
      </c>
      <c r="C755" s="84"/>
      <c r="D755" s="84"/>
      <c r="E755" s="76"/>
      <c r="F755" s="76" t="str">
        <f>IF(E755='Tablas AR'!$B$4,1,IF('Análisis de Riesgos'!E755='Tablas AR'!$B$5,2,IF('Análisis de Riesgos'!E755='Tablas AR'!$B$6,3,"")))</f>
        <v/>
      </c>
      <c r="G755" s="76"/>
      <c r="H755" s="76" t="str">
        <f>IF(G755='Tablas AR'!$B$10,1,IF('Análisis de Riesgos'!G755='Tablas AR'!$B$11,2,IF('Análisis de Riesgos'!G755='Tablas AR'!$B$12,3,"")))</f>
        <v/>
      </c>
      <c r="I755" s="76">
        <f t="shared" si="1"/>
        <v>0</v>
      </c>
    </row>
    <row r="756" ht="14.25" customHeight="1">
      <c r="B756" s="84" t="str">
        <f t="array" ref="B756">IFERROR(INDEX(Activos!$B$3:$C$16, MATCH(C756,Activos!$B$3:$B$16),2),"")</f>
        <v/>
      </c>
      <c r="C756" s="84"/>
      <c r="D756" s="84"/>
      <c r="E756" s="76"/>
      <c r="F756" s="76" t="str">
        <f>IF(E756='Tablas AR'!$B$4,1,IF('Análisis de Riesgos'!E756='Tablas AR'!$B$5,2,IF('Análisis de Riesgos'!E756='Tablas AR'!$B$6,3,"")))</f>
        <v/>
      </c>
      <c r="G756" s="76"/>
      <c r="H756" s="76" t="str">
        <f>IF(G756='Tablas AR'!$B$10,1,IF('Análisis de Riesgos'!G756='Tablas AR'!$B$11,2,IF('Análisis de Riesgos'!G756='Tablas AR'!$B$12,3,"")))</f>
        <v/>
      </c>
      <c r="I756" s="76">
        <f t="shared" si="1"/>
        <v>0</v>
      </c>
    </row>
    <row r="757" ht="14.25" customHeight="1">
      <c r="B757" s="84" t="str">
        <f t="array" ref="B757">IFERROR(INDEX(Activos!$B$3:$C$16, MATCH(C757,Activos!$B$3:$B$16),2),"")</f>
        <v/>
      </c>
      <c r="C757" s="84"/>
      <c r="D757" s="84"/>
      <c r="E757" s="76"/>
      <c r="F757" s="76" t="str">
        <f>IF(E757='Tablas AR'!$B$4,1,IF('Análisis de Riesgos'!E757='Tablas AR'!$B$5,2,IF('Análisis de Riesgos'!E757='Tablas AR'!$B$6,3,"")))</f>
        <v/>
      </c>
      <c r="G757" s="76"/>
      <c r="H757" s="76" t="str">
        <f>IF(G757='Tablas AR'!$B$10,1,IF('Análisis de Riesgos'!G757='Tablas AR'!$B$11,2,IF('Análisis de Riesgos'!G757='Tablas AR'!$B$12,3,"")))</f>
        <v/>
      </c>
      <c r="I757" s="76">
        <f t="shared" si="1"/>
        <v>0</v>
      </c>
    </row>
    <row r="758" ht="14.25" customHeight="1">
      <c r="B758" s="84" t="str">
        <f t="array" ref="B758">IFERROR(INDEX(Activos!$B$3:$C$16, MATCH(C758,Activos!$B$3:$B$16),2),"")</f>
        <v/>
      </c>
      <c r="C758" s="84"/>
      <c r="D758" s="84"/>
      <c r="E758" s="76"/>
      <c r="F758" s="76" t="str">
        <f>IF(E758='Tablas AR'!$B$4,1,IF('Análisis de Riesgos'!E758='Tablas AR'!$B$5,2,IF('Análisis de Riesgos'!E758='Tablas AR'!$B$6,3,"")))</f>
        <v/>
      </c>
      <c r="G758" s="76"/>
      <c r="H758" s="76" t="str">
        <f>IF(G758='Tablas AR'!$B$10,1,IF('Análisis de Riesgos'!G758='Tablas AR'!$B$11,2,IF('Análisis de Riesgos'!G758='Tablas AR'!$B$12,3,"")))</f>
        <v/>
      </c>
      <c r="I758" s="76">
        <f t="shared" si="1"/>
        <v>0</v>
      </c>
    </row>
    <row r="759" ht="14.25" customHeight="1">
      <c r="B759" s="84" t="str">
        <f t="array" ref="B759">IFERROR(INDEX(Activos!$B$3:$C$16, MATCH(C759,Activos!$B$3:$B$16),2),"")</f>
        <v/>
      </c>
      <c r="C759" s="84"/>
      <c r="D759" s="84"/>
      <c r="E759" s="76"/>
      <c r="F759" s="76" t="str">
        <f>IF(E759='Tablas AR'!$B$4,1,IF('Análisis de Riesgos'!E759='Tablas AR'!$B$5,2,IF('Análisis de Riesgos'!E759='Tablas AR'!$B$6,3,"")))</f>
        <v/>
      </c>
      <c r="G759" s="76"/>
      <c r="H759" s="76" t="str">
        <f>IF(G759='Tablas AR'!$B$10,1,IF('Análisis de Riesgos'!G759='Tablas AR'!$B$11,2,IF('Análisis de Riesgos'!G759='Tablas AR'!$B$12,3,"")))</f>
        <v/>
      </c>
      <c r="I759" s="76">
        <f t="shared" si="1"/>
        <v>0</v>
      </c>
    </row>
    <row r="760" ht="14.25" customHeight="1">
      <c r="B760" s="84" t="str">
        <f t="array" ref="B760">IFERROR(INDEX(Activos!$B$3:$C$16, MATCH(C760,Activos!$B$3:$B$16),2),"")</f>
        <v/>
      </c>
      <c r="C760" s="84"/>
      <c r="D760" s="84"/>
      <c r="E760" s="76"/>
      <c r="F760" s="76" t="str">
        <f>IF(E760='Tablas AR'!$B$4,1,IF('Análisis de Riesgos'!E760='Tablas AR'!$B$5,2,IF('Análisis de Riesgos'!E760='Tablas AR'!$B$6,3,"")))</f>
        <v/>
      </c>
      <c r="G760" s="76"/>
      <c r="H760" s="76" t="str">
        <f>IF(G760='Tablas AR'!$B$10,1,IF('Análisis de Riesgos'!G760='Tablas AR'!$B$11,2,IF('Análisis de Riesgos'!G760='Tablas AR'!$B$12,3,"")))</f>
        <v/>
      </c>
      <c r="I760" s="76">
        <f t="shared" si="1"/>
        <v>0</v>
      </c>
    </row>
    <row r="761" ht="14.25" customHeight="1">
      <c r="B761" s="84" t="str">
        <f t="array" ref="B761">IFERROR(INDEX(Activos!$B$3:$C$16, MATCH(C761,Activos!$B$3:$B$16),2),"")</f>
        <v/>
      </c>
      <c r="C761" s="84"/>
      <c r="D761" s="84"/>
      <c r="E761" s="76"/>
      <c r="F761" s="76" t="str">
        <f>IF(E761='Tablas AR'!$B$4,1,IF('Análisis de Riesgos'!E761='Tablas AR'!$B$5,2,IF('Análisis de Riesgos'!E761='Tablas AR'!$B$6,3,"")))</f>
        <v/>
      </c>
      <c r="G761" s="76"/>
      <c r="H761" s="76" t="str">
        <f>IF(G761='Tablas AR'!$B$10,1,IF('Análisis de Riesgos'!G761='Tablas AR'!$B$11,2,IF('Análisis de Riesgos'!G761='Tablas AR'!$B$12,3,"")))</f>
        <v/>
      </c>
      <c r="I761" s="76">
        <f t="shared" si="1"/>
        <v>0</v>
      </c>
    </row>
    <row r="762" ht="14.25" customHeight="1">
      <c r="B762" s="84" t="str">
        <f t="array" ref="B762">IFERROR(INDEX(Activos!$B$3:$C$16, MATCH(C762,Activos!$B$3:$B$16),2),"")</f>
        <v/>
      </c>
      <c r="C762" s="84"/>
      <c r="D762" s="84"/>
      <c r="E762" s="76"/>
      <c r="F762" s="76" t="str">
        <f>IF(E762='Tablas AR'!$B$4,1,IF('Análisis de Riesgos'!E762='Tablas AR'!$B$5,2,IF('Análisis de Riesgos'!E762='Tablas AR'!$B$6,3,"")))</f>
        <v/>
      </c>
      <c r="G762" s="76"/>
      <c r="H762" s="76" t="str">
        <f>IF(G762='Tablas AR'!$B$10,1,IF('Análisis de Riesgos'!G762='Tablas AR'!$B$11,2,IF('Análisis de Riesgos'!G762='Tablas AR'!$B$12,3,"")))</f>
        <v/>
      </c>
      <c r="I762" s="76">
        <f t="shared" si="1"/>
        <v>0</v>
      </c>
    </row>
    <row r="763" ht="14.25" customHeight="1">
      <c r="B763" s="84" t="str">
        <f t="array" ref="B763">IFERROR(INDEX(Activos!$B$3:$C$16, MATCH(C763,Activos!$B$3:$B$16),2),"")</f>
        <v/>
      </c>
      <c r="C763" s="84"/>
      <c r="D763" s="84"/>
      <c r="E763" s="76"/>
      <c r="F763" s="76" t="str">
        <f>IF(E763='Tablas AR'!$B$4,1,IF('Análisis de Riesgos'!E763='Tablas AR'!$B$5,2,IF('Análisis de Riesgos'!E763='Tablas AR'!$B$6,3,"")))</f>
        <v/>
      </c>
      <c r="G763" s="76"/>
      <c r="H763" s="76" t="str">
        <f>IF(G763='Tablas AR'!$B$10,1,IF('Análisis de Riesgos'!G763='Tablas AR'!$B$11,2,IF('Análisis de Riesgos'!G763='Tablas AR'!$B$12,3,"")))</f>
        <v/>
      </c>
      <c r="I763" s="76">
        <f t="shared" si="1"/>
        <v>0</v>
      </c>
    </row>
    <row r="764" ht="14.25" customHeight="1">
      <c r="B764" s="84" t="str">
        <f t="array" ref="B764">IFERROR(INDEX(Activos!$B$3:$C$16, MATCH(C764,Activos!$B$3:$B$16),2),"")</f>
        <v/>
      </c>
      <c r="C764" s="84"/>
      <c r="D764" s="84"/>
      <c r="E764" s="76"/>
      <c r="F764" s="76" t="str">
        <f>IF(E764='Tablas AR'!$B$4,1,IF('Análisis de Riesgos'!E764='Tablas AR'!$B$5,2,IF('Análisis de Riesgos'!E764='Tablas AR'!$B$6,3,"")))</f>
        <v/>
      </c>
      <c r="G764" s="76"/>
      <c r="H764" s="76" t="str">
        <f>IF(G764='Tablas AR'!$B$10,1,IF('Análisis de Riesgos'!G764='Tablas AR'!$B$11,2,IF('Análisis de Riesgos'!G764='Tablas AR'!$B$12,3,"")))</f>
        <v/>
      </c>
      <c r="I764" s="76">
        <f t="shared" si="1"/>
        <v>0</v>
      </c>
    </row>
    <row r="765" ht="14.25" customHeight="1">
      <c r="B765" s="84" t="str">
        <f t="array" ref="B765">IFERROR(INDEX(Activos!$B$3:$C$16, MATCH(C765,Activos!$B$3:$B$16),2),"")</f>
        <v/>
      </c>
      <c r="C765" s="84"/>
      <c r="D765" s="84"/>
      <c r="E765" s="76"/>
      <c r="F765" s="76" t="str">
        <f>IF(E765='Tablas AR'!$B$4,1,IF('Análisis de Riesgos'!E765='Tablas AR'!$B$5,2,IF('Análisis de Riesgos'!E765='Tablas AR'!$B$6,3,"")))</f>
        <v/>
      </c>
      <c r="G765" s="76"/>
      <c r="H765" s="76" t="str">
        <f>IF(G765='Tablas AR'!$B$10,1,IF('Análisis de Riesgos'!G765='Tablas AR'!$B$11,2,IF('Análisis de Riesgos'!G765='Tablas AR'!$B$12,3,"")))</f>
        <v/>
      </c>
      <c r="I765" s="76">
        <f t="shared" si="1"/>
        <v>0</v>
      </c>
    </row>
    <row r="766" ht="14.25" customHeight="1">
      <c r="B766" s="84" t="str">
        <f t="array" ref="B766">IFERROR(INDEX(Activos!$B$3:$C$16, MATCH(C766,Activos!$B$3:$B$16),2),"")</f>
        <v/>
      </c>
      <c r="C766" s="84"/>
      <c r="D766" s="84"/>
      <c r="E766" s="76"/>
      <c r="F766" s="76" t="str">
        <f>IF(E766='Tablas AR'!$B$4,1,IF('Análisis de Riesgos'!E766='Tablas AR'!$B$5,2,IF('Análisis de Riesgos'!E766='Tablas AR'!$B$6,3,"")))</f>
        <v/>
      </c>
      <c r="G766" s="76"/>
      <c r="H766" s="76" t="str">
        <f>IF(G766='Tablas AR'!$B$10,1,IF('Análisis de Riesgos'!G766='Tablas AR'!$B$11,2,IF('Análisis de Riesgos'!G766='Tablas AR'!$B$12,3,"")))</f>
        <v/>
      </c>
      <c r="I766" s="76">
        <f t="shared" si="1"/>
        <v>0</v>
      </c>
    </row>
    <row r="767" ht="14.25" customHeight="1">
      <c r="B767" s="84" t="str">
        <f t="array" ref="B767">IFERROR(INDEX(Activos!$B$3:$C$16, MATCH(C767,Activos!$B$3:$B$16),2),"")</f>
        <v/>
      </c>
      <c r="C767" s="84"/>
      <c r="D767" s="84"/>
      <c r="E767" s="76"/>
      <c r="F767" s="76" t="str">
        <f>IF(E767='Tablas AR'!$B$4,1,IF('Análisis de Riesgos'!E767='Tablas AR'!$B$5,2,IF('Análisis de Riesgos'!E767='Tablas AR'!$B$6,3,"")))</f>
        <v/>
      </c>
      <c r="G767" s="76"/>
      <c r="H767" s="76" t="str">
        <f>IF(G767='Tablas AR'!$B$10,1,IF('Análisis de Riesgos'!G767='Tablas AR'!$B$11,2,IF('Análisis de Riesgos'!G767='Tablas AR'!$B$12,3,"")))</f>
        <v/>
      </c>
      <c r="I767" s="76">
        <f t="shared" si="1"/>
        <v>0</v>
      </c>
    </row>
    <row r="768" ht="14.25" customHeight="1">
      <c r="B768" s="84" t="str">
        <f t="array" ref="B768">IFERROR(INDEX(Activos!$B$3:$C$16, MATCH(C768,Activos!$B$3:$B$16),2),"")</f>
        <v/>
      </c>
      <c r="C768" s="84"/>
      <c r="D768" s="84"/>
      <c r="E768" s="76"/>
      <c r="F768" s="76" t="str">
        <f>IF(E768='Tablas AR'!$B$4,1,IF('Análisis de Riesgos'!E768='Tablas AR'!$B$5,2,IF('Análisis de Riesgos'!E768='Tablas AR'!$B$6,3,"")))</f>
        <v/>
      </c>
      <c r="G768" s="76"/>
      <c r="H768" s="76" t="str">
        <f>IF(G768='Tablas AR'!$B$10,1,IF('Análisis de Riesgos'!G768='Tablas AR'!$B$11,2,IF('Análisis de Riesgos'!G768='Tablas AR'!$B$12,3,"")))</f>
        <v/>
      </c>
      <c r="I768" s="76">
        <f t="shared" si="1"/>
        <v>0</v>
      </c>
    </row>
    <row r="769" ht="14.25" customHeight="1">
      <c r="B769" s="84" t="str">
        <f t="array" ref="B769">IFERROR(INDEX(Activos!$B$3:$C$16, MATCH(C769,Activos!$B$3:$B$16),2),"")</f>
        <v/>
      </c>
      <c r="C769" s="84"/>
      <c r="D769" s="84"/>
      <c r="E769" s="76"/>
      <c r="F769" s="76" t="str">
        <f>IF(E769='Tablas AR'!$B$4,1,IF('Análisis de Riesgos'!E769='Tablas AR'!$B$5,2,IF('Análisis de Riesgos'!E769='Tablas AR'!$B$6,3,"")))</f>
        <v/>
      </c>
      <c r="G769" s="76"/>
      <c r="H769" s="76" t="str">
        <f>IF(G769='Tablas AR'!$B$10,1,IF('Análisis de Riesgos'!G769='Tablas AR'!$B$11,2,IF('Análisis de Riesgos'!G769='Tablas AR'!$B$12,3,"")))</f>
        <v/>
      </c>
      <c r="I769" s="76">
        <f t="shared" si="1"/>
        <v>0</v>
      </c>
    </row>
    <row r="770" ht="14.25" customHeight="1">
      <c r="B770" s="84" t="str">
        <f t="array" ref="B770">IFERROR(INDEX(Activos!$B$3:$C$16, MATCH(C770,Activos!$B$3:$B$16),2),"")</f>
        <v/>
      </c>
      <c r="C770" s="84"/>
      <c r="D770" s="84"/>
      <c r="E770" s="76"/>
      <c r="F770" s="76" t="str">
        <f>IF(E770='Tablas AR'!$B$4,1,IF('Análisis de Riesgos'!E770='Tablas AR'!$B$5,2,IF('Análisis de Riesgos'!E770='Tablas AR'!$B$6,3,"")))</f>
        <v/>
      </c>
      <c r="G770" s="76"/>
      <c r="H770" s="76" t="str">
        <f>IF(G770='Tablas AR'!$B$10,1,IF('Análisis de Riesgos'!G770='Tablas AR'!$B$11,2,IF('Análisis de Riesgos'!G770='Tablas AR'!$B$12,3,"")))</f>
        <v/>
      </c>
      <c r="I770" s="76">
        <f t="shared" si="1"/>
        <v>0</v>
      </c>
    </row>
    <row r="771" ht="14.25" customHeight="1">
      <c r="B771" s="84" t="str">
        <f t="array" ref="B771">IFERROR(INDEX(Activos!$B$3:$C$16, MATCH(C771,Activos!$B$3:$B$16),2),"")</f>
        <v/>
      </c>
      <c r="C771" s="84"/>
      <c r="D771" s="84"/>
      <c r="E771" s="76"/>
      <c r="F771" s="76" t="str">
        <f>IF(E771='Tablas AR'!$B$4,1,IF('Análisis de Riesgos'!E771='Tablas AR'!$B$5,2,IF('Análisis de Riesgos'!E771='Tablas AR'!$B$6,3,"")))</f>
        <v/>
      </c>
      <c r="G771" s="76"/>
      <c r="H771" s="76" t="str">
        <f>IF(G771='Tablas AR'!$B$10,1,IF('Análisis de Riesgos'!G771='Tablas AR'!$B$11,2,IF('Análisis de Riesgos'!G771='Tablas AR'!$B$12,3,"")))</f>
        <v/>
      </c>
      <c r="I771" s="76">
        <f t="shared" si="1"/>
        <v>0</v>
      </c>
    </row>
    <row r="772" ht="14.25" customHeight="1">
      <c r="B772" s="84" t="str">
        <f t="array" ref="B772">IFERROR(INDEX(Activos!$B$3:$C$16, MATCH(C772,Activos!$B$3:$B$16),2),"")</f>
        <v/>
      </c>
      <c r="C772" s="84"/>
      <c r="D772" s="84"/>
      <c r="E772" s="76"/>
      <c r="F772" s="76" t="str">
        <f>IF(E772='Tablas AR'!$B$4,1,IF('Análisis de Riesgos'!E772='Tablas AR'!$B$5,2,IF('Análisis de Riesgos'!E772='Tablas AR'!$B$6,3,"")))</f>
        <v/>
      </c>
      <c r="G772" s="76"/>
      <c r="H772" s="76" t="str">
        <f>IF(G772='Tablas AR'!$B$10,1,IF('Análisis de Riesgos'!G772='Tablas AR'!$B$11,2,IF('Análisis de Riesgos'!G772='Tablas AR'!$B$12,3,"")))</f>
        <v/>
      </c>
      <c r="I772" s="76">
        <f t="shared" si="1"/>
        <v>0</v>
      </c>
    </row>
    <row r="773" ht="14.25" customHeight="1">
      <c r="B773" s="84" t="str">
        <f t="array" ref="B773">IFERROR(INDEX(Activos!$B$3:$C$16, MATCH(C773,Activos!$B$3:$B$16),2),"")</f>
        <v/>
      </c>
      <c r="C773" s="84"/>
      <c r="D773" s="84"/>
      <c r="E773" s="76"/>
      <c r="F773" s="76" t="str">
        <f>IF(E773='Tablas AR'!$B$4,1,IF('Análisis de Riesgos'!E773='Tablas AR'!$B$5,2,IF('Análisis de Riesgos'!E773='Tablas AR'!$B$6,3,"")))</f>
        <v/>
      </c>
      <c r="G773" s="76"/>
      <c r="H773" s="76" t="str">
        <f>IF(G773='Tablas AR'!$B$10,1,IF('Análisis de Riesgos'!G773='Tablas AR'!$B$11,2,IF('Análisis de Riesgos'!G773='Tablas AR'!$B$12,3,"")))</f>
        <v/>
      </c>
      <c r="I773" s="76">
        <f t="shared" si="1"/>
        <v>0</v>
      </c>
    </row>
    <row r="774" ht="14.25" customHeight="1">
      <c r="B774" s="84" t="str">
        <f t="array" ref="B774">IFERROR(INDEX(Activos!$B$3:$C$16, MATCH(C774,Activos!$B$3:$B$16),2),"")</f>
        <v/>
      </c>
      <c r="C774" s="84"/>
      <c r="D774" s="84"/>
      <c r="E774" s="76"/>
      <c r="F774" s="76" t="str">
        <f>IF(E774='Tablas AR'!$B$4,1,IF('Análisis de Riesgos'!E774='Tablas AR'!$B$5,2,IF('Análisis de Riesgos'!E774='Tablas AR'!$B$6,3,"")))</f>
        <v/>
      </c>
      <c r="G774" s="76"/>
      <c r="H774" s="76" t="str">
        <f>IF(G774='Tablas AR'!$B$10,1,IF('Análisis de Riesgos'!G774='Tablas AR'!$B$11,2,IF('Análisis de Riesgos'!G774='Tablas AR'!$B$12,3,"")))</f>
        <v/>
      </c>
      <c r="I774" s="76">
        <f t="shared" si="1"/>
        <v>0</v>
      </c>
    </row>
    <row r="775" ht="14.25" customHeight="1">
      <c r="B775" s="84" t="str">
        <f t="array" ref="B775">IFERROR(INDEX(Activos!$B$3:$C$16, MATCH(C775,Activos!$B$3:$B$16),2),"")</f>
        <v/>
      </c>
      <c r="C775" s="84"/>
      <c r="D775" s="84"/>
      <c r="E775" s="76"/>
      <c r="F775" s="76" t="str">
        <f>IF(E775='Tablas AR'!$B$4,1,IF('Análisis de Riesgos'!E775='Tablas AR'!$B$5,2,IF('Análisis de Riesgos'!E775='Tablas AR'!$B$6,3,"")))</f>
        <v/>
      </c>
      <c r="G775" s="76"/>
      <c r="H775" s="76" t="str">
        <f>IF(G775='Tablas AR'!$B$10,1,IF('Análisis de Riesgos'!G775='Tablas AR'!$B$11,2,IF('Análisis de Riesgos'!G775='Tablas AR'!$B$12,3,"")))</f>
        <v/>
      </c>
      <c r="I775" s="76">
        <f t="shared" si="1"/>
        <v>0</v>
      </c>
    </row>
    <row r="776" ht="14.25" customHeight="1">
      <c r="B776" s="84" t="str">
        <f t="array" ref="B776">IFERROR(INDEX(Activos!$B$3:$C$16, MATCH(C776,Activos!$B$3:$B$16),2),"")</f>
        <v/>
      </c>
      <c r="C776" s="84"/>
      <c r="D776" s="84"/>
      <c r="E776" s="76"/>
      <c r="F776" s="76" t="str">
        <f>IF(E776='Tablas AR'!$B$4,1,IF('Análisis de Riesgos'!E776='Tablas AR'!$B$5,2,IF('Análisis de Riesgos'!E776='Tablas AR'!$B$6,3,"")))</f>
        <v/>
      </c>
      <c r="G776" s="76"/>
      <c r="H776" s="76" t="str">
        <f>IF(G776='Tablas AR'!$B$10,1,IF('Análisis de Riesgos'!G776='Tablas AR'!$B$11,2,IF('Análisis de Riesgos'!G776='Tablas AR'!$B$12,3,"")))</f>
        <v/>
      </c>
      <c r="I776" s="76">
        <f t="shared" si="1"/>
        <v>0</v>
      </c>
    </row>
    <row r="777" ht="14.25" customHeight="1">
      <c r="B777" s="84" t="str">
        <f t="array" ref="B777">IFERROR(INDEX(Activos!$B$3:$C$16, MATCH(C777,Activos!$B$3:$B$16),2),"")</f>
        <v/>
      </c>
      <c r="C777" s="84"/>
      <c r="D777" s="84"/>
      <c r="E777" s="76"/>
      <c r="F777" s="76" t="str">
        <f>IF(E777='Tablas AR'!$B$4,1,IF('Análisis de Riesgos'!E777='Tablas AR'!$B$5,2,IF('Análisis de Riesgos'!E777='Tablas AR'!$B$6,3,"")))</f>
        <v/>
      </c>
      <c r="G777" s="76"/>
      <c r="H777" s="76" t="str">
        <f>IF(G777='Tablas AR'!$B$10,1,IF('Análisis de Riesgos'!G777='Tablas AR'!$B$11,2,IF('Análisis de Riesgos'!G777='Tablas AR'!$B$12,3,"")))</f>
        <v/>
      </c>
      <c r="I777" s="76">
        <f t="shared" si="1"/>
        <v>0</v>
      </c>
    </row>
    <row r="778" ht="14.25" customHeight="1">
      <c r="B778" s="84" t="str">
        <f t="array" ref="B778">IFERROR(INDEX(Activos!$B$3:$C$16, MATCH(C778,Activos!$B$3:$B$16),2),"")</f>
        <v/>
      </c>
      <c r="C778" s="84"/>
      <c r="D778" s="84"/>
      <c r="E778" s="76"/>
      <c r="F778" s="76" t="str">
        <f>IF(E778='Tablas AR'!$B$4,1,IF('Análisis de Riesgos'!E778='Tablas AR'!$B$5,2,IF('Análisis de Riesgos'!E778='Tablas AR'!$B$6,3,"")))</f>
        <v/>
      </c>
      <c r="G778" s="76"/>
      <c r="H778" s="76" t="str">
        <f>IF(G778='Tablas AR'!$B$10,1,IF('Análisis de Riesgos'!G778='Tablas AR'!$B$11,2,IF('Análisis de Riesgos'!G778='Tablas AR'!$B$12,3,"")))</f>
        <v/>
      </c>
      <c r="I778" s="76">
        <f t="shared" si="1"/>
        <v>0</v>
      </c>
    </row>
    <row r="779" ht="14.25" customHeight="1">
      <c r="B779" s="84" t="str">
        <f t="array" ref="B779">IFERROR(INDEX(Activos!$B$3:$C$16, MATCH(C779,Activos!$B$3:$B$16),2),"")</f>
        <v/>
      </c>
      <c r="C779" s="84"/>
      <c r="D779" s="84"/>
      <c r="E779" s="76"/>
      <c r="F779" s="76" t="str">
        <f>IF(E779='Tablas AR'!$B$4,1,IF('Análisis de Riesgos'!E779='Tablas AR'!$B$5,2,IF('Análisis de Riesgos'!E779='Tablas AR'!$B$6,3,"")))</f>
        <v/>
      </c>
      <c r="G779" s="76"/>
      <c r="H779" s="76" t="str">
        <f>IF(G779='Tablas AR'!$B$10,1,IF('Análisis de Riesgos'!G779='Tablas AR'!$B$11,2,IF('Análisis de Riesgos'!G779='Tablas AR'!$B$12,3,"")))</f>
        <v/>
      </c>
      <c r="I779" s="76">
        <f t="shared" si="1"/>
        <v>0</v>
      </c>
    </row>
    <row r="780" ht="14.25" customHeight="1">
      <c r="B780" s="84" t="str">
        <f t="array" ref="B780">IFERROR(INDEX(Activos!$B$3:$C$16, MATCH(C780,Activos!$B$3:$B$16),2),"")</f>
        <v/>
      </c>
      <c r="C780" s="84"/>
      <c r="D780" s="84"/>
      <c r="E780" s="76"/>
      <c r="F780" s="76" t="str">
        <f>IF(E780='Tablas AR'!$B$4,1,IF('Análisis de Riesgos'!E780='Tablas AR'!$B$5,2,IF('Análisis de Riesgos'!E780='Tablas AR'!$B$6,3,"")))</f>
        <v/>
      </c>
      <c r="G780" s="76"/>
      <c r="H780" s="76" t="str">
        <f>IF(G780='Tablas AR'!$B$10,1,IF('Análisis de Riesgos'!G780='Tablas AR'!$B$11,2,IF('Análisis de Riesgos'!G780='Tablas AR'!$B$12,3,"")))</f>
        <v/>
      </c>
      <c r="I780" s="76">
        <f t="shared" si="1"/>
        <v>0</v>
      </c>
    </row>
    <row r="781" ht="14.25" customHeight="1">
      <c r="B781" s="84" t="str">
        <f t="array" ref="B781">IFERROR(INDEX(Activos!$B$3:$C$16, MATCH(C781,Activos!$B$3:$B$16),2),"")</f>
        <v/>
      </c>
      <c r="C781" s="84"/>
      <c r="D781" s="84"/>
      <c r="E781" s="76"/>
      <c r="F781" s="76" t="str">
        <f>IF(E781='Tablas AR'!$B$4,1,IF('Análisis de Riesgos'!E781='Tablas AR'!$B$5,2,IF('Análisis de Riesgos'!E781='Tablas AR'!$B$6,3,"")))</f>
        <v/>
      </c>
      <c r="G781" s="76"/>
      <c r="H781" s="76" t="str">
        <f>IF(G781='Tablas AR'!$B$10,1,IF('Análisis de Riesgos'!G781='Tablas AR'!$B$11,2,IF('Análisis de Riesgos'!G781='Tablas AR'!$B$12,3,"")))</f>
        <v/>
      </c>
      <c r="I781" s="76">
        <f t="shared" si="1"/>
        <v>0</v>
      </c>
    </row>
    <row r="782" ht="14.25" customHeight="1">
      <c r="B782" s="84" t="str">
        <f t="array" ref="B782">IFERROR(INDEX(Activos!$B$3:$C$16, MATCH(C782,Activos!$B$3:$B$16),2),"")</f>
        <v/>
      </c>
      <c r="C782" s="84"/>
      <c r="D782" s="84"/>
      <c r="E782" s="76"/>
      <c r="F782" s="76" t="str">
        <f>IF(E782='Tablas AR'!$B$4,1,IF('Análisis de Riesgos'!E782='Tablas AR'!$B$5,2,IF('Análisis de Riesgos'!E782='Tablas AR'!$B$6,3,"")))</f>
        <v/>
      </c>
      <c r="G782" s="76"/>
      <c r="H782" s="76" t="str">
        <f>IF(G782='Tablas AR'!$B$10,1,IF('Análisis de Riesgos'!G782='Tablas AR'!$B$11,2,IF('Análisis de Riesgos'!G782='Tablas AR'!$B$12,3,"")))</f>
        <v/>
      </c>
      <c r="I782" s="76">
        <f t="shared" si="1"/>
        <v>0</v>
      </c>
    </row>
    <row r="783" ht="14.25" customHeight="1">
      <c r="B783" s="84" t="str">
        <f t="array" ref="B783">IFERROR(INDEX(Activos!$B$3:$C$16, MATCH(C783,Activos!$B$3:$B$16),2),"")</f>
        <v/>
      </c>
      <c r="C783" s="84"/>
      <c r="D783" s="84"/>
      <c r="E783" s="76"/>
      <c r="F783" s="76" t="str">
        <f>IF(E783='Tablas AR'!$B$4,1,IF('Análisis de Riesgos'!E783='Tablas AR'!$B$5,2,IF('Análisis de Riesgos'!E783='Tablas AR'!$B$6,3,"")))</f>
        <v/>
      </c>
      <c r="G783" s="76"/>
      <c r="H783" s="76" t="str">
        <f>IF(G783='Tablas AR'!$B$10,1,IF('Análisis de Riesgos'!G783='Tablas AR'!$B$11,2,IF('Análisis de Riesgos'!G783='Tablas AR'!$B$12,3,"")))</f>
        <v/>
      </c>
      <c r="I783" s="76">
        <f t="shared" si="1"/>
        <v>0</v>
      </c>
    </row>
    <row r="784" ht="14.25" customHeight="1">
      <c r="B784" s="84" t="str">
        <f t="array" ref="B784">IFERROR(INDEX(Activos!$B$3:$C$16, MATCH(C784,Activos!$B$3:$B$16),2),"")</f>
        <v/>
      </c>
      <c r="C784" s="84"/>
      <c r="D784" s="84"/>
      <c r="E784" s="76"/>
      <c r="F784" s="76" t="str">
        <f>IF(E784='Tablas AR'!$B$4,1,IF('Análisis de Riesgos'!E784='Tablas AR'!$B$5,2,IF('Análisis de Riesgos'!E784='Tablas AR'!$B$6,3,"")))</f>
        <v/>
      </c>
      <c r="G784" s="76"/>
      <c r="H784" s="76" t="str">
        <f>IF(G784='Tablas AR'!$B$10,1,IF('Análisis de Riesgos'!G784='Tablas AR'!$B$11,2,IF('Análisis de Riesgos'!G784='Tablas AR'!$B$12,3,"")))</f>
        <v/>
      </c>
      <c r="I784" s="76">
        <f t="shared" si="1"/>
        <v>0</v>
      </c>
    </row>
    <row r="785" ht="14.25" customHeight="1">
      <c r="B785" s="84" t="str">
        <f t="array" ref="B785">IFERROR(INDEX(Activos!$B$3:$C$16, MATCH(C785,Activos!$B$3:$B$16),2),"")</f>
        <v/>
      </c>
      <c r="C785" s="84"/>
      <c r="D785" s="84"/>
      <c r="E785" s="76"/>
      <c r="F785" s="76" t="str">
        <f>IF(E785='Tablas AR'!$B$4,1,IF('Análisis de Riesgos'!E785='Tablas AR'!$B$5,2,IF('Análisis de Riesgos'!E785='Tablas AR'!$B$6,3,"")))</f>
        <v/>
      </c>
      <c r="G785" s="76"/>
      <c r="H785" s="76" t="str">
        <f>IF(G785='Tablas AR'!$B$10,1,IF('Análisis de Riesgos'!G785='Tablas AR'!$B$11,2,IF('Análisis de Riesgos'!G785='Tablas AR'!$B$12,3,"")))</f>
        <v/>
      </c>
      <c r="I785" s="76">
        <f t="shared" si="1"/>
        <v>0</v>
      </c>
    </row>
    <row r="786" ht="14.25" customHeight="1">
      <c r="B786" s="84" t="str">
        <f t="array" ref="B786">IFERROR(INDEX(Activos!$B$3:$C$16, MATCH(C786,Activos!$B$3:$B$16),2),"")</f>
        <v/>
      </c>
      <c r="C786" s="84"/>
      <c r="D786" s="84"/>
      <c r="E786" s="76"/>
      <c r="F786" s="76" t="str">
        <f>IF(E786='Tablas AR'!$B$4,1,IF('Análisis de Riesgos'!E786='Tablas AR'!$B$5,2,IF('Análisis de Riesgos'!E786='Tablas AR'!$B$6,3,"")))</f>
        <v/>
      </c>
      <c r="G786" s="76"/>
      <c r="H786" s="76" t="str">
        <f>IF(G786='Tablas AR'!$B$10,1,IF('Análisis de Riesgos'!G786='Tablas AR'!$B$11,2,IF('Análisis de Riesgos'!G786='Tablas AR'!$B$12,3,"")))</f>
        <v/>
      </c>
      <c r="I786" s="76">
        <f t="shared" si="1"/>
        <v>0</v>
      </c>
    </row>
    <row r="787" ht="14.25" customHeight="1">
      <c r="B787" s="84" t="str">
        <f t="array" ref="B787">IFERROR(INDEX(Activos!$B$3:$C$16, MATCH(C787,Activos!$B$3:$B$16),2),"")</f>
        <v/>
      </c>
      <c r="C787" s="84"/>
      <c r="D787" s="84"/>
      <c r="E787" s="76"/>
      <c r="F787" s="76" t="str">
        <f>IF(E787='Tablas AR'!$B$4,1,IF('Análisis de Riesgos'!E787='Tablas AR'!$B$5,2,IF('Análisis de Riesgos'!E787='Tablas AR'!$B$6,3,"")))</f>
        <v/>
      </c>
      <c r="G787" s="76"/>
      <c r="H787" s="76" t="str">
        <f>IF(G787='Tablas AR'!$B$10,1,IF('Análisis de Riesgos'!G787='Tablas AR'!$B$11,2,IF('Análisis de Riesgos'!G787='Tablas AR'!$B$12,3,"")))</f>
        <v/>
      </c>
      <c r="I787" s="76">
        <f t="shared" si="1"/>
        <v>0</v>
      </c>
    </row>
    <row r="788" ht="14.25" customHeight="1">
      <c r="B788" s="84" t="str">
        <f t="array" ref="B788">IFERROR(INDEX(Activos!$B$3:$C$16, MATCH(C788,Activos!$B$3:$B$16),2),"")</f>
        <v/>
      </c>
      <c r="C788" s="84"/>
      <c r="D788" s="84"/>
      <c r="E788" s="76"/>
      <c r="F788" s="76" t="str">
        <f>IF(E788='Tablas AR'!$B$4,1,IF('Análisis de Riesgos'!E788='Tablas AR'!$B$5,2,IF('Análisis de Riesgos'!E788='Tablas AR'!$B$6,3,"")))</f>
        <v/>
      </c>
      <c r="G788" s="76"/>
      <c r="H788" s="76" t="str">
        <f>IF(G788='Tablas AR'!$B$10,1,IF('Análisis de Riesgos'!G788='Tablas AR'!$B$11,2,IF('Análisis de Riesgos'!G788='Tablas AR'!$B$12,3,"")))</f>
        <v/>
      </c>
      <c r="I788" s="76">
        <f t="shared" si="1"/>
        <v>0</v>
      </c>
    </row>
    <row r="789" ht="14.25" customHeight="1">
      <c r="B789" s="84" t="str">
        <f t="array" ref="B789">IFERROR(INDEX(Activos!$B$3:$C$16, MATCH(C789,Activos!$B$3:$B$16),2),"")</f>
        <v/>
      </c>
      <c r="C789" s="84"/>
      <c r="D789" s="84"/>
      <c r="E789" s="76"/>
      <c r="F789" s="76" t="str">
        <f>IF(E789='Tablas AR'!$B$4,1,IF('Análisis de Riesgos'!E789='Tablas AR'!$B$5,2,IF('Análisis de Riesgos'!E789='Tablas AR'!$B$6,3,"")))</f>
        <v/>
      </c>
      <c r="G789" s="76"/>
      <c r="H789" s="76" t="str">
        <f>IF(G789='Tablas AR'!$B$10,1,IF('Análisis de Riesgos'!G789='Tablas AR'!$B$11,2,IF('Análisis de Riesgos'!G789='Tablas AR'!$B$12,3,"")))</f>
        <v/>
      </c>
      <c r="I789" s="76">
        <f t="shared" si="1"/>
        <v>0</v>
      </c>
    </row>
    <row r="790" ht="14.25" customHeight="1">
      <c r="B790" s="84" t="str">
        <f t="array" ref="B790">IFERROR(INDEX(Activos!$B$3:$C$16, MATCH(C790,Activos!$B$3:$B$16),2),"")</f>
        <v/>
      </c>
      <c r="C790" s="84"/>
      <c r="D790" s="84"/>
      <c r="E790" s="76"/>
      <c r="F790" s="76" t="str">
        <f>IF(E790='Tablas AR'!$B$4,1,IF('Análisis de Riesgos'!E790='Tablas AR'!$B$5,2,IF('Análisis de Riesgos'!E790='Tablas AR'!$B$6,3,"")))</f>
        <v/>
      </c>
      <c r="G790" s="76"/>
      <c r="H790" s="76" t="str">
        <f>IF(G790='Tablas AR'!$B$10,1,IF('Análisis de Riesgos'!G790='Tablas AR'!$B$11,2,IF('Análisis de Riesgos'!G790='Tablas AR'!$B$12,3,"")))</f>
        <v/>
      </c>
      <c r="I790" s="76">
        <f t="shared" si="1"/>
        <v>0</v>
      </c>
    </row>
    <row r="791" ht="14.25" customHeight="1">
      <c r="B791" s="84" t="str">
        <f t="array" ref="B791">IFERROR(INDEX(Activos!$B$3:$C$16, MATCH(C791,Activos!$B$3:$B$16),2),"")</f>
        <v/>
      </c>
      <c r="C791" s="84"/>
      <c r="D791" s="84"/>
      <c r="E791" s="76"/>
      <c r="F791" s="76" t="str">
        <f>IF(E791='Tablas AR'!$B$4,1,IF('Análisis de Riesgos'!E791='Tablas AR'!$B$5,2,IF('Análisis de Riesgos'!E791='Tablas AR'!$B$6,3,"")))</f>
        <v/>
      </c>
      <c r="G791" s="76"/>
      <c r="H791" s="76" t="str">
        <f>IF(G791='Tablas AR'!$B$10,1,IF('Análisis de Riesgos'!G791='Tablas AR'!$B$11,2,IF('Análisis de Riesgos'!G791='Tablas AR'!$B$12,3,"")))</f>
        <v/>
      </c>
      <c r="I791" s="76">
        <f t="shared" si="1"/>
        <v>0</v>
      </c>
    </row>
    <row r="792" ht="14.25" customHeight="1">
      <c r="B792" s="84" t="str">
        <f t="array" ref="B792">IFERROR(INDEX(Activos!$B$3:$C$16, MATCH(C792,Activos!$B$3:$B$16),2),"")</f>
        <v/>
      </c>
      <c r="C792" s="84"/>
      <c r="D792" s="84"/>
      <c r="E792" s="76"/>
      <c r="F792" s="76" t="str">
        <f>IF(E792='Tablas AR'!$B$4,1,IF('Análisis de Riesgos'!E792='Tablas AR'!$B$5,2,IF('Análisis de Riesgos'!E792='Tablas AR'!$B$6,3,"")))</f>
        <v/>
      </c>
      <c r="G792" s="76"/>
      <c r="H792" s="76" t="str">
        <f>IF(G792='Tablas AR'!$B$10,1,IF('Análisis de Riesgos'!G792='Tablas AR'!$B$11,2,IF('Análisis de Riesgos'!G792='Tablas AR'!$B$12,3,"")))</f>
        <v/>
      </c>
      <c r="I792" s="76">
        <f t="shared" si="1"/>
        <v>0</v>
      </c>
    </row>
    <row r="793" ht="14.25" customHeight="1">
      <c r="B793" s="84" t="str">
        <f t="array" ref="B793">IFERROR(INDEX(Activos!$B$3:$C$16, MATCH(C793,Activos!$B$3:$B$16),2),"")</f>
        <v/>
      </c>
      <c r="C793" s="84"/>
      <c r="D793" s="84"/>
      <c r="E793" s="76"/>
      <c r="F793" s="76" t="str">
        <f>IF(E793='Tablas AR'!$B$4,1,IF('Análisis de Riesgos'!E793='Tablas AR'!$B$5,2,IF('Análisis de Riesgos'!E793='Tablas AR'!$B$6,3,"")))</f>
        <v/>
      </c>
      <c r="G793" s="76"/>
      <c r="H793" s="76" t="str">
        <f>IF(G793='Tablas AR'!$B$10,1,IF('Análisis de Riesgos'!G793='Tablas AR'!$B$11,2,IF('Análisis de Riesgos'!G793='Tablas AR'!$B$12,3,"")))</f>
        <v/>
      </c>
      <c r="I793" s="76">
        <f t="shared" si="1"/>
        <v>0</v>
      </c>
    </row>
    <row r="794" ht="14.25" customHeight="1">
      <c r="B794" s="84" t="str">
        <f t="array" ref="B794">IFERROR(INDEX(Activos!$B$3:$C$16, MATCH(C794,Activos!$B$3:$B$16),2),"")</f>
        <v/>
      </c>
      <c r="C794" s="84"/>
      <c r="D794" s="84"/>
      <c r="E794" s="76"/>
      <c r="F794" s="76" t="str">
        <f>IF(E794='Tablas AR'!$B$4,1,IF('Análisis de Riesgos'!E794='Tablas AR'!$B$5,2,IF('Análisis de Riesgos'!E794='Tablas AR'!$B$6,3,"")))</f>
        <v/>
      </c>
      <c r="G794" s="76"/>
      <c r="H794" s="76" t="str">
        <f>IF(G794='Tablas AR'!$B$10,1,IF('Análisis de Riesgos'!G794='Tablas AR'!$B$11,2,IF('Análisis de Riesgos'!G794='Tablas AR'!$B$12,3,"")))</f>
        <v/>
      </c>
      <c r="I794" s="76">
        <f t="shared" si="1"/>
        <v>0</v>
      </c>
    </row>
    <row r="795" ht="14.25" customHeight="1">
      <c r="B795" s="84" t="str">
        <f t="array" ref="B795">IFERROR(INDEX(Activos!$B$3:$C$16, MATCH(C795,Activos!$B$3:$B$16),2),"")</f>
        <v/>
      </c>
      <c r="C795" s="84"/>
      <c r="D795" s="84"/>
      <c r="E795" s="76"/>
      <c r="F795" s="76" t="str">
        <f>IF(E795='Tablas AR'!$B$4,1,IF('Análisis de Riesgos'!E795='Tablas AR'!$B$5,2,IF('Análisis de Riesgos'!E795='Tablas AR'!$B$6,3,"")))</f>
        <v/>
      </c>
      <c r="G795" s="76"/>
      <c r="H795" s="76" t="str">
        <f>IF(G795='Tablas AR'!$B$10,1,IF('Análisis de Riesgos'!G795='Tablas AR'!$B$11,2,IF('Análisis de Riesgos'!G795='Tablas AR'!$B$12,3,"")))</f>
        <v/>
      </c>
      <c r="I795" s="76">
        <f t="shared" si="1"/>
        <v>0</v>
      </c>
    </row>
    <row r="796" ht="14.25" customHeight="1">
      <c r="B796" s="84" t="str">
        <f t="array" ref="B796">IFERROR(INDEX(Activos!$B$3:$C$16, MATCH(C796,Activos!$B$3:$B$16),2),"")</f>
        <v/>
      </c>
      <c r="C796" s="84"/>
      <c r="D796" s="84"/>
      <c r="E796" s="76"/>
      <c r="F796" s="76" t="str">
        <f>IF(E796='Tablas AR'!$B$4,1,IF('Análisis de Riesgos'!E796='Tablas AR'!$B$5,2,IF('Análisis de Riesgos'!E796='Tablas AR'!$B$6,3,"")))</f>
        <v/>
      </c>
      <c r="G796" s="76"/>
      <c r="H796" s="76" t="str">
        <f>IF(G796='Tablas AR'!$B$10,1,IF('Análisis de Riesgos'!G796='Tablas AR'!$B$11,2,IF('Análisis de Riesgos'!G796='Tablas AR'!$B$12,3,"")))</f>
        <v/>
      </c>
      <c r="I796" s="76">
        <f t="shared" si="1"/>
        <v>0</v>
      </c>
    </row>
    <row r="797" ht="14.25" customHeight="1">
      <c r="B797" s="84" t="str">
        <f t="array" ref="B797">IFERROR(INDEX(Activos!$B$3:$C$16, MATCH(C797,Activos!$B$3:$B$16),2),"")</f>
        <v/>
      </c>
      <c r="C797" s="84"/>
      <c r="D797" s="84"/>
      <c r="E797" s="76"/>
      <c r="F797" s="76" t="str">
        <f>IF(E797='Tablas AR'!$B$4,1,IF('Análisis de Riesgos'!E797='Tablas AR'!$B$5,2,IF('Análisis de Riesgos'!E797='Tablas AR'!$B$6,3,"")))</f>
        <v/>
      </c>
      <c r="G797" s="76"/>
      <c r="H797" s="76" t="str">
        <f>IF(G797='Tablas AR'!$B$10,1,IF('Análisis de Riesgos'!G797='Tablas AR'!$B$11,2,IF('Análisis de Riesgos'!G797='Tablas AR'!$B$12,3,"")))</f>
        <v/>
      </c>
      <c r="I797" s="76">
        <f t="shared" si="1"/>
        <v>0</v>
      </c>
    </row>
    <row r="798" ht="14.25" customHeight="1">
      <c r="B798" s="84" t="str">
        <f t="array" ref="B798">IFERROR(INDEX(Activos!$B$3:$C$16, MATCH(C798,Activos!$B$3:$B$16),2),"")</f>
        <v/>
      </c>
      <c r="C798" s="84"/>
      <c r="D798" s="84"/>
      <c r="E798" s="76"/>
      <c r="F798" s="76" t="str">
        <f>IF(E798='Tablas AR'!$B$4,1,IF('Análisis de Riesgos'!E798='Tablas AR'!$B$5,2,IF('Análisis de Riesgos'!E798='Tablas AR'!$B$6,3,"")))</f>
        <v/>
      </c>
      <c r="G798" s="76"/>
      <c r="H798" s="76" t="str">
        <f>IF(G798='Tablas AR'!$B$10,1,IF('Análisis de Riesgos'!G798='Tablas AR'!$B$11,2,IF('Análisis de Riesgos'!G798='Tablas AR'!$B$12,3,"")))</f>
        <v/>
      </c>
      <c r="I798" s="76">
        <f t="shared" si="1"/>
        <v>0</v>
      </c>
    </row>
    <row r="799" ht="14.25" customHeight="1">
      <c r="B799" s="84" t="str">
        <f t="array" ref="B799">IFERROR(INDEX(Activos!$B$3:$C$16, MATCH(C799,Activos!$B$3:$B$16),2),"")</f>
        <v/>
      </c>
      <c r="C799" s="84"/>
      <c r="D799" s="84"/>
      <c r="E799" s="76"/>
      <c r="F799" s="76" t="str">
        <f>IF(E799='Tablas AR'!$B$4,1,IF('Análisis de Riesgos'!E799='Tablas AR'!$B$5,2,IF('Análisis de Riesgos'!E799='Tablas AR'!$B$6,3,"")))</f>
        <v/>
      </c>
      <c r="G799" s="76"/>
      <c r="H799" s="76" t="str">
        <f>IF(G799='Tablas AR'!$B$10,1,IF('Análisis de Riesgos'!G799='Tablas AR'!$B$11,2,IF('Análisis de Riesgos'!G799='Tablas AR'!$B$12,3,"")))</f>
        <v/>
      </c>
      <c r="I799" s="76">
        <f t="shared" si="1"/>
        <v>0</v>
      </c>
    </row>
    <row r="800" ht="14.25" customHeight="1">
      <c r="B800" s="84" t="str">
        <f t="array" ref="B800">IFERROR(INDEX(Activos!$B$3:$C$16, MATCH(C800,Activos!$B$3:$B$16),2),"")</f>
        <v/>
      </c>
      <c r="C800" s="84"/>
      <c r="D800" s="84"/>
      <c r="E800" s="76"/>
      <c r="F800" s="76" t="str">
        <f>IF(E800='Tablas AR'!$B$4,1,IF('Análisis de Riesgos'!E800='Tablas AR'!$B$5,2,IF('Análisis de Riesgos'!E800='Tablas AR'!$B$6,3,"")))</f>
        <v/>
      </c>
      <c r="G800" s="76"/>
      <c r="H800" s="76" t="str">
        <f>IF(G800='Tablas AR'!$B$10,1,IF('Análisis de Riesgos'!G800='Tablas AR'!$B$11,2,IF('Análisis de Riesgos'!G800='Tablas AR'!$B$12,3,"")))</f>
        <v/>
      </c>
      <c r="I800" s="76">
        <f t="shared" si="1"/>
        <v>0</v>
      </c>
    </row>
    <row r="801" ht="14.25" customHeight="1">
      <c r="B801" s="84" t="str">
        <f t="array" ref="B801">IFERROR(INDEX(Activos!$B$3:$C$16, MATCH(C801,Activos!$B$3:$B$16),2),"")</f>
        <v/>
      </c>
      <c r="C801" s="84"/>
      <c r="D801" s="84"/>
      <c r="E801" s="76"/>
      <c r="F801" s="76" t="str">
        <f>IF(E801='Tablas AR'!$B$4,1,IF('Análisis de Riesgos'!E801='Tablas AR'!$B$5,2,IF('Análisis de Riesgos'!E801='Tablas AR'!$B$6,3,"")))</f>
        <v/>
      </c>
      <c r="G801" s="76"/>
      <c r="H801" s="76" t="str">
        <f>IF(G801='Tablas AR'!$B$10,1,IF('Análisis de Riesgos'!G801='Tablas AR'!$B$11,2,IF('Análisis de Riesgos'!G801='Tablas AR'!$B$12,3,"")))</f>
        <v/>
      </c>
      <c r="I801" s="76">
        <f t="shared" si="1"/>
        <v>0</v>
      </c>
    </row>
    <row r="802" ht="14.25" customHeight="1">
      <c r="B802" s="84" t="str">
        <f t="array" ref="B802">IFERROR(INDEX(Activos!$B$3:$C$16, MATCH(C802,Activos!$B$3:$B$16),2),"")</f>
        <v/>
      </c>
      <c r="C802" s="84"/>
      <c r="D802" s="84"/>
      <c r="E802" s="76"/>
      <c r="F802" s="76" t="str">
        <f>IF(E802='Tablas AR'!$B$4,1,IF('Análisis de Riesgos'!E802='Tablas AR'!$B$5,2,IF('Análisis de Riesgos'!E802='Tablas AR'!$B$6,3,"")))</f>
        <v/>
      </c>
      <c r="G802" s="76"/>
      <c r="H802" s="76" t="str">
        <f>IF(G802='Tablas AR'!$B$10,1,IF('Análisis de Riesgos'!G802='Tablas AR'!$B$11,2,IF('Análisis de Riesgos'!G802='Tablas AR'!$B$12,3,"")))</f>
        <v/>
      </c>
      <c r="I802" s="76">
        <f t="shared" si="1"/>
        <v>0</v>
      </c>
    </row>
    <row r="803" ht="14.25" customHeight="1">
      <c r="B803" s="84" t="str">
        <f t="array" ref="B803">IFERROR(INDEX(Activos!$B$3:$C$16, MATCH(C803,Activos!$B$3:$B$16),2),"")</f>
        <v/>
      </c>
      <c r="C803" s="84"/>
      <c r="D803" s="84"/>
      <c r="E803" s="76"/>
      <c r="F803" s="76" t="str">
        <f>IF(E803='Tablas AR'!$B$4,1,IF('Análisis de Riesgos'!E803='Tablas AR'!$B$5,2,IF('Análisis de Riesgos'!E803='Tablas AR'!$B$6,3,"")))</f>
        <v/>
      </c>
      <c r="G803" s="76"/>
      <c r="H803" s="76" t="str">
        <f>IF(G803='Tablas AR'!$B$10,1,IF('Análisis de Riesgos'!G803='Tablas AR'!$B$11,2,IF('Análisis de Riesgos'!G803='Tablas AR'!$B$12,3,"")))</f>
        <v/>
      </c>
      <c r="I803" s="76">
        <f t="shared" si="1"/>
        <v>0</v>
      </c>
    </row>
    <row r="804" ht="14.25" customHeight="1">
      <c r="B804" s="84" t="str">
        <f t="array" ref="B804">IFERROR(INDEX(Activos!$B$3:$C$16, MATCH(C804,Activos!$B$3:$B$16),2),"")</f>
        <v/>
      </c>
      <c r="C804" s="84"/>
      <c r="D804" s="84"/>
      <c r="E804" s="76"/>
      <c r="F804" s="76" t="str">
        <f>IF(E804='Tablas AR'!$B$4,1,IF('Análisis de Riesgos'!E804='Tablas AR'!$B$5,2,IF('Análisis de Riesgos'!E804='Tablas AR'!$B$6,3,"")))</f>
        <v/>
      </c>
      <c r="G804" s="76"/>
      <c r="H804" s="76" t="str">
        <f>IF(G804='Tablas AR'!$B$10,1,IF('Análisis de Riesgos'!G804='Tablas AR'!$B$11,2,IF('Análisis de Riesgos'!G804='Tablas AR'!$B$12,3,"")))</f>
        <v/>
      </c>
      <c r="I804" s="76">
        <f t="shared" si="1"/>
        <v>0</v>
      </c>
    </row>
    <row r="805" ht="14.25" customHeight="1">
      <c r="B805" s="84" t="str">
        <f t="array" ref="B805">IFERROR(INDEX(Activos!$B$3:$C$16, MATCH(C805,Activos!$B$3:$B$16),2),"")</f>
        <v/>
      </c>
      <c r="C805" s="84"/>
      <c r="D805" s="84"/>
      <c r="E805" s="76"/>
      <c r="F805" s="76" t="str">
        <f>IF(E805='Tablas AR'!$B$4,1,IF('Análisis de Riesgos'!E805='Tablas AR'!$B$5,2,IF('Análisis de Riesgos'!E805='Tablas AR'!$B$6,3,"")))</f>
        <v/>
      </c>
      <c r="G805" s="76"/>
      <c r="H805" s="76" t="str">
        <f>IF(G805='Tablas AR'!$B$10,1,IF('Análisis de Riesgos'!G805='Tablas AR'!$B$11,2,IF('Análisis de Riesgos'!G805='Tablas AR'!$B$12,3,"")))</f>
        <v/>
      </c>
      <c r="I805" s="76">
        <f t="shared" si="1"/>
        <v>0</v>
      </c>
    </row>
    <row r="806" ht="14.25" customHeight="1">
      <c r="B806" s="84" t="str">
        <f t="array" ref="B806">IFERROR(INDEX(Activos!$B$3:$C$16, MATCH(C806,Activos!$B$3:$B$16),2),"")</f>
        <v/>
      </c>
      <c r="C806" s="84"/>
      <c r="D806" s="84"/>
      <c r="E806" s="76"/>
      <c r="F806" s="76" t="str">
        <f>IF(E806='Tablas AR'!$B$4,1,IF('Análisis de Riesgos'!E806='Tablas AR'!$B$5,2,IF('Análisis de Riesgos'!E806='Tablas AR'!$B$6,3,"")))</f>
        <v/>
      </c>
      <c r="G806" s="76"/>
      <c r="H806" s="76" t="str">
        <f>IF(G806='Tablas AR'!$B$10,1,IF('Análisis de Riesgos'!G806='Tablas AR'!$B$11,2,IF('Análisis de Riesgos'!G806='Tablas AR'!$B$12,3,"")))</f>
        <v/>
      </c>
      <c r="I806" s="76">
        <f t="shared" si="1"/>
        <v>0</v>
      </c>
    </row>
    <row r="807" ht="14.25" customHeight="1">
      <c r="B807" s="84" t="str">
        <f t="array" ref="B807">IFERROR(INDEX(Activos!$B$3:$C$16, MATCH(C807,Activos!$B$3:$B$16),2),"")</f>
        <v/>
      </c>
      <c r="C807" s="84"/>
      <c r="D807" s="84"/>
      <c r="E807" s="76"/>
      <c r="F807" s="76" t="str">
        <f>IF(E807='Tablas AR'!$B$4,1,IF('Análisis de Riesgos'!E807='Tablas AR'!$B$5,2,IF('Análisis de Riesgos'!E807='Tablas AR'!$B$6,3,"")))</f>
        <v/>
      </c>
      <c r="G807" s="76"/>
      <c r="H807" s="76" t="str">
        <f>IF(G807='Tablas AR'!$B$10,1,IF('Análisis de Riesgos'!G807='Tablas AR'!$B$11,2,IF('Análisis de Riesgos'!G807='Tablas AR'!$B$12,3,"")))</f>
        <v/>
      </c>
      <c r="I807" s="76">
        <f t="shared" si="1"/>
        <v>0</v>
      </c>
    </row>
    <row r="808" ht="14.25" customHeight="1">
      <c r="B808" s="84" t="str">
        <f t="array" ref="B808">IFERROR(INDEX(Activos!$B$3:$C$16, MATCH(C808,Activos!$B$3:$B$16),2),"")</f>
        <v/>
      </c>
      <c r="C808" s="84"/>
      <c r="D808" s="84"/>
      <c r="E808" s="76"/>
      <c r="F808" s="76" t="str">
        <f>IF(E808='Tablas AR'!$B$4,1,IF('Análisis de Riesgos'!E808='Tablas AR'!$B$5,2,IF('Análisis de Riesgos'!E808='Tablas AR'!$B$6,3,"")))</f>
        <v/>
      </c>
      <c r="G808" s="76"/>
      <c r="H808" s="76" t="str">
        <f>IF(G808='Tablas AR'!$B$10,1,IF('Análisis de Riesgos'!G808='Tablas AR'!$B$11,2,IF('Análisis de Riesgos'!G808='Tablas AR'!$B$12,3,"")))</f>
        <v/>
      </c>
      <c r="I808" s="76">
        <f t="shared" si="1"/>
        <v>0</v>
      </c>
    </row>
    <row r="809" ht="14.25" customHeight="1">
      <c r="B809" s="84" t="str">
        <f t="array" ref="B809">IFERROR(INDEX(Activos!$B$3:$C$16, MATCH(C809,Activos!$B$3:$B$16),2),"")</f>
        <v/>
      </c>
      <c r="C809" s="84"/>
      <c r="D809" s="84"/>
      <c r="E809" s="76"/>
      <c r="F809" s="76" t="str">
        <f>IF(E809='Tablas AR'!$B$4,1,IF('Análisis de Riesgos'!E809='Tablas AR'!$B$5,2,IF('Análisis de Riesgos'!E809='Tablas AR'!$B$6,3,"")))</f>
        <v/>
      </c>
      <c r="G809" s="76"/>
      <c r="H809" s="76" t="str">
        <f>IF(G809='Tablas AR'!$B$10,1,IF('Análisis de Riesgos'!G809='Tablas AR'!$B$11,2,IF('Análisis de Riesgos'!G809='Tablas AR'!$B$12,3,"")))</f>
        <v/>
      </c>
      <c r="I809" s="76">
        <f t="shared" si="1"/>
        <v>0</v>
      </c>
    </row>
    <row r="810" ht="14.25" customHeight="1">
      <c r="B810" s="84" t="str">
        <f t="array" ref="B810">IFERROR(INDEX(Activos!$B$3:$C$16, MATCH(C810,Activos!$B$3:$B$16),2),"")</f>
        <v/>
      </c>
      <c r="C810" s="84"/>
      <c r="D810" s="84"/>
      <c r="E810" s="76"/>
      <c r="F810" s="76" t="str">
        <f>IF(E810='Tablas AR'!$B$4,1,IF('Análisis de Riesgos'!E810='Tablas AR'!$B$5,2,IF('Análisis de Riesgos'!E810='Tablas AR'!$B$6,3,"")))</f>
        <v/>
      </c>
      <c r="G810" s="76"/>
      <c r="H810" s="76" t="str">
        <f>IF(G810='Tablas AR'!$B$10,1,IF('Análisis de Riesgos'!G810='Tablas AR'!$B$11,2,IF('Análisis de Riesgos'!G810='Tablas AR'!$B$12,3,"")))</f>
        <v/>
      </c>
      <c r="I810" s="76">
        <f t="shared" si="1"/>
        <v>0</v>
      </c>
    </row>
    <row r="811" ht="14.25" customHeight="1">
      <c r="B811" s="84" t="str">
        <f t="array" ref="B811">IFERROR(INDEX(Activos!$B$3:$C$16, MATCH(C811,Activos!$B$3:$B$16),2),"")</f>
        <v/>
      </c>
      <c r="C811" s="84"/>
      <c r="D811" s="84"/>
      <c r="E811" s="76"/>
      <c r="F811" s="76" t="str">
        <f>IF(E811='Tablas AR'!$B$4,1,IF('Análisis de Riesgos'!E811='Tablas AR'!$B$5,2,IF('Análisis de Riesgos'!E811='Tablas AR'!$B$6,3,"")))</f>
        <v/>
      </c>
      <c r="G811" s="76"/>
      <c r="H811" s="76" t="str">
        <f>IF(G811='Tablas AR'!$B$10,1,IF('Análisis de Riesgos'!G811='Tablas AR'!$B$11,2,IF('Análisis de Riesgos'!G811='Tablas AR'!$B$12,3,"")))</f>
        <v/>
      </c>
      <c r="I811" s="76">
        <f t="shared" si="1"/>
        <v>0</v>
      </c>
    </row>
    <row r="812" ht="14.25" customHeight="1">
      <c r="B812" s="84" t="str">
        <f t="array" ref="B812">IFERROR(INDEX(Activos!$B$3:$C$16, MATCH(C812,Activos!$B$3:$B$16),2),"")</f>
        <v/>
      </c>
      <c r="C812" s="84"/>
      <c r="D812" s="84"/>
      <c r="E812" s="76"/>
      <c r="F812" s="76" t="str">
        <f>IF(E812='Tablas AR'!$B$4,1,IF('Análisis de Riesgos'!E812='Tablas AR'!$B$5,2,IF('Análisis de Riesgos'!E812='Tablas AR'!$B$6,3,"")))</f>
        <v/>
      </c>
      <c r="G812" s="76"/>
      <c r="H812" s="76" t="str">
        <f>IF(G812='Tablas AR'!$B$10,1,IF('Análisis de Riesgos'!G812='Tablas AR'!$B$11,2,IF('Análisis de Riesgos'!G812='Tablas AR'!$B$12,3,"")))</f>
        <v/>
      </c>
      <c r="I812" s="76">
        <f t="shared" si="1"/>
        <v>0</v>
      </c>
    </row>
    <row r="813" ht="14.25" customHeight="1">
      <c r="B813" s="84" t="str">
        <f t="array" ref="B813">IFERROR(INDEX(Activos!$B$3:$C$16, MATCH(C813,Activos!$B$3:$B$16),2),"")</f>
        <v/>
      </c>
      <c r="C813" s="84"/>
      <c r="D813" s="84"/>
      <c r="E813" s="76"/>
      <c r="F813" s="76" t="str">
        <f>IF(E813='Tablas AR'!$B$4,1,IF('Análisis de Riesgos'!E813='Tablas AR'!$B$5,2,IF('Análisis de Riesgos'!E813='Tablas AR'!$B$6,3,"")))</f>
        <v/>
      </c>
      <c r="G813" s="76"/>
      <c r="H813" s="76" t="str">
        <f>IF(G813='Tablas AR'!$B$10,1,IF('Análisis de Riesgos'!G813='Tablas AR'!$B$11,2,IF('Análisis de Riesgos'!G813='Tablas AR'!$B$12,3,"")))</f>
        <v/>
      </c>
      <c r="I813" s="76">
        <f t="shared" si="1"/>
        <v>0</v>
      </c>
    </row>
    <row r="814" ht="14.25" customHeight="1">
      <c r="B814" s="84" t="str">
        <f t="array" ref="B814">IFERROR(INDEX(Activos!$B$3:$C$16, MATCH(C814,Activos!$B$3:$B$16),2),"")</f>
        <v/>
      </c>
      <c r="C814" s="84"/>
      <c r="D814" s="84"/>
      <c r="E814" s="76"/>
      <c r="F814" s="76" t="str">
        <f>IF(E814='Tablas AR'!$B$4,1,IF('Análisis de Riesgos'!E814='Tablas AR'!$B$5,2,IF('Análisis de Riesgos'!E814='Tablas AR'!$B$6,3,"")))</f>
        <v/>
      </c>
      <c r="G814" s="76"/>
      <c r="H814" s="76" t="str">
        <f>IF(G814='Tablas AR'!$B$10,1,IF('Análisis de Riesgos'!G814='Tablas AR'!$B$11,2,IF('Análisis de Riesgos'!G814='Tablas AR'!$B$12,3,"")))</f>
        <v/>
      </c>
      <c r="I814" s="76">
        <f t="shared" si="1"/>
        <v>0</v>
      </c>
    </row>
    <row r="815" ht="14.25" customHeight="1">
      <c r="B815" s="84" t="str">
        <f t="array" ref="B815">IFERROR(INDEX(Activos!$B$3:$C$16, MATCH(C815,Activos!$B$3:$B$16),2),"")</f>
        <v/>
      </c>
      <c r="C815" s="84"/>
      <c r="D815" s="84"/>
      <c r="E815" s="76"/>
      <c r="F815" s="76" t="str">
        <f>IF(E815='Tablas AR'!$B$4,1,IF('Análisis de Riesgos'!E815='Tablas AR'!$B$5,2,IF('Análisis de Riesgos'!E815='Tablas AR'!$B$6,3,"")))</f>
        <v/>
      </c>
      <c r="G815" s="76"/>
      <c r="H815" s="76" t="str">
        <f>IF(G815='Tablas AR'!$B$10,1,IF('Análisis de Riesgos'!G815='Tablas AR'!$B$11,2,IF('Análisis de Riesgos'!G815='Tablas AR'!$B$12,3,"")))</f>
        <v/>
      </c>
      <c r="I815" s="76">
        <f t="shared" si="1"/>
        <v>0</v>
      </c>
    </row>
    <row r="816" ht="14.25" customHeight="1">
      <c r="B816" s="84" t="str">
        <f t="array" ref="B816">IFERROR(INDEX(Activos!$B$3:$C$16, MATCH(C816,Activos!$B$3:$B$16),2),"")</f>
        <v/>
      </c>
      <c r="C816" s="84"/>
      <c r="D816" s="84"/>
      <c r="E816" s="76"/>
      <c r="F816" s="76" t="str">
        <f>IF(E816='Tablas AR'!$B$4,1,IF('Análisis de Riesgos'!E816='Tablas AR'!$B$5,2,IF('Análisis de Riesgos'!E816='Tablas AR'!$B$6,3,"")))</f>
        <v/>
      </c>
      <c r="G816" s="76"/>
      <c r="H816" s="76" t="str">
        <f>IF(G816='Tablas AR'!$B$10,1,IF('Análisis de Riesgos'!G816='Tablas AR'!$B$11,2,IF('Análisis de Riesgos'!G816='Tablas AR'!$B$12,3,"")))</f>
        <v/>
      </c>
      <c r="I816" s="76">
        <f t="shared" si="1"/>
        <v>0</v>
      </c>
    </row>
    <row r="817" ht="14.25" customHeight="1">
      <c r="B817" s="84" t="str">
        <f t="array" ref="B817">IFERROR(INDEX(Activos!$B$3:$C$16, MATCH(C817,Activos!$B$3:$B$16),2),"")</f>
        <v/>
      </c>
      <c r="C817" s="84"/>
      <c r="D817" s="84"/>
      <c r="E817" s="76"/>
      <c r="F817" s="76" t="str">
        <f>IF(E817='Tablas AR'!$B$4,1,IF('Análisis de Riesgos'!E817='Tablas AR'!$B$5,2,IF('Análisis de Riesgos'!E817='Tablas AR'!$B$6,3,"")))</f>
        <v/>
      </c>
      <c r="G817" s="76"/>
      <c r="H817" s="76" t="str">
        <f>IF(G817='Tablas AR'!$B$10,1,IF('Análisis de Riesgos'!G817='Tablas AR'!$B$11,2,IF('Análisis de Riesgos'!G817='Tablas AR'!$B$12,3,"")))</f>
        <v/>
      </c>
      <c r="I817" s="76">
        <f t="shared" si="1"/>
        <v>0</v>
      </c>
    </row>
    <row r="818" ht="14.25" customHeight="1">
      <c r="B818" s="84" t="str">
        <f t="array" ref="B818">IFERROR(INDEX(Activos!$B$3:$C$16, MATCH(C818,Activos!$B$3:$B$16),2),"")</f>
        <v/>
      </c>
      <c r="C818" s="84"/>
      <c r="D818" s="84"/>
      <c r="E818" s="76"/>
      <c r="F818" s="76" t="str">
        <f>IF(E818='Tablas AR'!$B$4,1,IF('Análisis de Riesgos'!E818='Tablas AR'!$B$5,2,IF('Análisis de Riesgos'!E818='Tablas AR'!$B$6,3,"")))</f>
        <v/>
      </c>
      <c r="G818" s="76"/>
      <c r="H818" s="76" t="str">
        <f>IF(G818='Tablas AR'!$B$10,1,IF('Análisis de Riesgos'!G818='Tablas AR'!$B$11,2,IF('Análisis de Riesgos'!G818='Tablas AR'!$B$12,3,"")))</f>
        <v/>
      </c>
      <c r="I818" s="76">
        <f t="shared" si="1"/>
        <v>0</v>
      </c>
    </row>
    <row r="819" ht="14.25" customHeight="1">
      <c r="B819" s="84" t="str">
        <f t="array" ref="B819">IFERROR(INDEX(Activos!$B$3:$C$16, MATCH(C819,Activos!$B$3:$B$16),2),"")</f>
        <v/>
      </c>
      <c r="C819" s="84"/>
      <c r="D819" s="84"/>
      <c r="E819" s="76"/>
      <c r="F819" s="76" t="str">
        <f>IF(E819='Tablas AR'!$B$4,1,IF('Análisis de Riesgos'!E819='Tablas AR'!$B$5,2,IF('Análisis de Riesgos'!E819='Tablas AR'!$B$6,3,"")))</f>
        <v/>
      </c>
      <c r="G819" s="76"/>
      <c r="H819" s="76" t="str">
        <f>IF(G819='Tablas AR'!$B$10,1,IF('Análisis de Riesgos'!G819='Tablas AR'!$B$11,2,IF('Análisis de Riesgos'!G819='Tablas AR'!$B$12,3,"")))</f>
        <v/>
      </c>
      <c r="I819" s="76">
        <f t="shared" si="1"/>
        <v>0</v>
      </c>
    </row>
    <row r="820" ht="14.25" customHeight="1">
      <c r="B820" s="84" t="str">
        <f t="array" ref="B820">IFERROR(INDEX(Activos!$B$3:$C$16, MATCH(C820,Activos!$B$3:$B$16),2),"")</f>
        <v/>
      </c>
      <c r="C820" s="84"/>
      <c r="D820" s="84"/>
      <c r="E820" s="76"/>
      <c r="F820" s="76" t="str">
        <f>IF(E820='Tablas AR'!$B$4,1,IF('Análisis de Riesgos'!E820='Tablas AR'!$B$5,2,IF('Análisis de Riesgos'!E820='Tablas AR'!$B$6,3,"")))</f>
        <v/>
      </c>
      <c r="G820" s="76"/>
      <c r="H820" s="76" t="str">
        <f>IF(G820='Tablas AR'!$B$10,1,IF('Análisis de Riesgos'!G820='Tablas AR'!$B$11,2,IF('Análisis de Riesgos'!G820='Tablas AR'!$B$12,3,"")))</f>
        <v/>
      </c>
      <c r="I820" s="76">
        <f t="shared" si="1"/>
        <v>0</v>
      </c>
    </row>
    <row r="821" ht="14.25" customHeight="1">
      <c r="B821" s="84" t="str">
        <f t="array" ref="B821">IFERROR(INDEX(Activos!$B$3:$C$16, MATCH(C821,Activos!$B$3:$B$16),2),"")</f>
        <v/>
      </c>
      <c r="C821" s="84"/>
      <c r="D821" s="84"/>
      <c r="E821" s="76"/>
      <c r="F821" s="76" t="str">
        <f>IF(E821='Tablas AR'!$B$4,1,IF('Análisis de Riesgos'!E821='Tablas AR'!$B$5,2,IF('Análisis de Riesgos'!E821='Tablas AR'!$B$6,3,"")))</f>
        <v/>
      </c>
      <c r="G821" s="76"/>
      <c r="H821" s="76" t="str">
        <f>IF(G821='Tablas AR'!$B$10,1,IF('Análisis de Riesgos'!G821='Tablas AR'!$B$11,2,IF('Análisis de Riesgos'!G821='Tablas AR'!$B$12,3,"")))</f>
        <v/>
      </c>
      <c r="I821" s="76">
        <f t="shared" si="1"/>
        <v>0</v>
      </c>
    </row>
    <row r="822" ht="14.25" customHeight="1">
      <c r="B822" s="84" t="str">
        <f t="array" ref="B822">IFERROR(INDEX(Activos!$B$3:$C$16, MATCH(C822,Activos!$B$3:$B$16),2),"")</f>
        <v/>
      </c>
      <c r="C822" s="84"/>
      <c r="D822" s="84"/>
      <c r="E822" s="76"/>
      <c r="F822" s="76" t="str">
        <f>IF(E822='Tablas AR'!$B$4,1,IF('Análisis de Riesgos'!E822='Tablas AR'!$B$5,2,IF('Análisis de Riesgos'!E822='Tablas AR'!$B$6,3,"")))</f>
        <v/>
      </c>
      <c r="G822" s="76"/>
      <c r="H822" s="76" t="str">
        <f>IF(G822='Tablas AR'!$B$10,1,IF('Análisis de Riesgos'!G822='Tablas AR'!$B$11,2,IF('Análisis de Riesgos'!G822='Tablas AR'!$B$12,3,"")))</f>
        <v/>
      </c>
      <c r="I822" s="76">
        <f t="shared" si="1"/>
        <v>0</v>
      </c>
    </row>
    <row r="823" ht="14.25" customHeight="1">
      <c r="B823" s="84" t="str">
        <f t="array" ref="B823">IFERROR(INDEX(Activos!$B$3:$C$16, MATCH(C823,Activos!$B$3:$B$16),2),"")</f>
        <v/>
      </c>
      <c r="C823" s="84"/>
      <c r="D823" s="84"/>
      <c r="E823" s="76"/>
      <c r="F823" s="76" t="str">
        <f>IF(E823='Tablas AR'!$B$4,1,IF('Análisis de Riesgos'!E823='Tablas AR'!$B$5,2,IF('Análisis de Riesgos'!E823='Tablas AR'!$B$6,3,"")))</f>
        <v/>
      </c>
      <c r="G823" s="76"/>
      <c r="H823" s="76" t="str">
        <f>IF(G823='Tablas AR'!$B$10,1,IF('Análisis de Riesgos'!G823='Tablas AR'!$B$11,2,IF('Análisis de Riesgos'!G823='Tablas AR'!$B$12,3,"")))</f>
        <v/>
      </c>
      <c r="I823" s="76">
        <f t="shared" si="1"/>
        <v>0</v>
      </c>
    </row>
    <row r="824" ht="14.25" customHeight="1">
      <c r="B824" s="84" t="str">
        <f t="array" ref="B824">IFERROR(INDEX(Activos!$B$3:$C$16, MATCH(C824,Activos!$B$3:$B$16),2),"")</f>
        <v/>
      </c>
      <c r="C824" s="84"/>
      <c r="D824" s="84"/>
      <c r="E824" s="76"/>
      <c r="F824" s="76" t="str">
        <f>IF(E824='Tablas AR'!$B$4,1,IF('Análisis de Riesgos'!E824='Tablas AR'!$B$5,2,IF('Análisis de Riesgos'!E824='Tablas AR'!$B$6,3,"")))</f>
        <v/>
      </c>
      <c r="G824" s="76"/>
      <c r="H824" s="76" t="str">
        <f>IF(G824='Tablas AR'!$B$10,1,IF('Análisis de Riesgos'!G824='Tablas AR'!$B$11,2,IF('Análisis de Riesgos'!G824='Tablas AR'!$B$12,3,"")))</f>
        <v/>
      </c>
      <c r="I824" s="76">
        <f t="shared" si="1"/>
        <v>0</v>
      </c>
    </row>
    <row r="825" ht="14.25" customHeight="1">
      <c r="B825" s="84" t="str">
        <f t="array" ref="B825">IFERROR(INDEX(Activos!$B$3:$C$16, MATCH(C825,Activos!$B$3:$B$16),2),"")</f>
        <v/>
      </c>
      <c r="C825" s="84"/>
      <c r="D825" s="84"/>
      <c r="E825" s="76"/>
      <c r="F825" s="76" t="str">
        <f>IF(E825='Tablas AR'!$B$4,1,IF('Análisis de Riesgos'!E825='Tablas AR'!$B$5,2,IF('Análisis de Riesgos'!E825='Tablas AR'!$B$6,3,"")))</f>
        <v/>
      </c>
      <c r="G825" s="76"/>
      <c r="H825" s="76" t="str">
        <f>IF(G825='Tablas AR'!$B$10,1,IF('Análisis de Riesgos'!G825='Tablas AR'!$B$11,2,IF('Análisis de Riesgos'!G825='Tablas AR'!$B$12,3,"")))</f>
        <v/>
      </c>
      <c r="I825" s="76">
        <f t="shared" si="1"/>
        <v>0</v>
      </c>
    </row>
    <row r="826" ht="14.25" customHeight="1">
      <c r="B826" s="84" t="str">
        <f t="array" ref="B826">IFERROR(INDEX(Activos!$B$3:$C$16, MATCH(C826,Activos!$B$3:$B$16),2),"")</f>
        <v/>
      </c>
      <c r="C826" s="84"/>
      <c r="D826" s="84"/>
      <c r="E826" s="76"/>
      <c r="F826" s="76" t="str">
        <f>IF(E826='Tablas AR'!$B$4,1,IF('Análisis de Riesgos'!E826='Tablas AR'!$B$5,2,IF('Análisis de Riesgos'!E826='Tablas AR'!$B$6,3,"")))</f>
        <v/>
      </c>
      <c r="G826" s="76"/>
      <c r="H826" s="76" t="str">
        <f>IF(G826='Tablas AR'!$B$10,1,IF('Análisis de Riesgos'!G826='Tablas AR'!$B$11,2,IF('Análisis de Riesgos'!G826='Tablas AR'!$B$12,3,"")))</f>
        <v/>
      </c>
      <c r="I826" s="76">
        <f t="shared" si="1"/>
        <v>0</v>
      </c>
    </row>
    <row r="827" ht="14.25" customHeight="1">
      <c r="B827" s="84" t="str">
        <f t="array" ref="B827">IFERROR(INDEX(Activos!$B$3:$C$16, MATCH(C827,Activos!$B$3:$B$16),2),"")</f>
        <v/>
      </c>
      <c r="C827" s="84"/>
      <c r="D827" s="84"/>
      <c r="E827" s="76"/>
      <c r="F827" s="76" t="str">
        <f>IF(E827='Tablas AR'!$B$4,1,IF('Análisis de Riesgos'!E827='Tablas AR'!$B$5,2,IF('Análisis de Riesgos'!E827='Tablas AR'!$B$6,3,"")))</f>
        <v/>
      </c>
      <c r="G827" s="76"/>
      <c r="H827" s="76" t="str">
        <f>IF(G827='Tablas AR'!$B$10,1,IF('Análisis de Riesgos'!G827='Tablas AR'!$B$11,2,IF('Análisis de Riesgos'!G827='Tablas AR'!$B$12,3,"")))</f>
        <v/>
      </c>
      <c r="I827" s="76">
        <f t="shared" si="1"/>
        <v>0</v>
      </c>
    </row>
    <row r="828" ht="14.25" customHeight="1">
      <c r="B828" s="84" t="str">
        <f t="array" ref="B828">IFERROR(INDEX(Activos!$B$3:$C$16, MATCH(C828,Activos!$B$3:$B$16),2),"")</f>
        <v/>
      </c>
      <c r="C828" s="84"/>
      <c r="D828" s="84"/>
      <c r="E828" s="76"/>
      <c r="F828" s="76" t="str">
        <f>IF(E828='Tablas AR'!$B$4,1,IF('Análisis de Riesgos'!E828='Tablas AR'!$B$5,2,IF('Análisis de Riesgos'!E828='Tablas AR'!$B$6,3,"")))</f>
        <v/>
      </c>
      <c r="G828" s="76"/>
      <c r="H828" s="76" t="str">
        <f>IF(G828='Tablas AR'!$B$10,1,IF('Análisis de Riesgos'!G828='Tablas AR'!$B$11,2,IF('Análisis de Riesgos'!G828='Tablas AR'!$B$12,3,"")))</f>
        <v/>
      </c>
      <c r="I828" s="76">
        <f t="shared" si="1"/>
        <v>0</v>
      </c>
    </row>
    <row r="829" ht="14.25" customHeight="1">
      <c r="B829" s="84" t="str">
        <f t="array" ref="B829">IFERROR(INDEX(Activos!$B$3:$C$16, MATCH(C829,Activos!$B$3:$B$16),2),"")</f>
        <v/>
      </c>
      <c r="C829" s="84"/>
      <c r="D829" s="84"/>
      <c r="E829" s="76"/>
      <c r="F829" s="76" t="str">
        <f>IF(E829='Tablas AR'!$B$4,1,IF('Análisis de Riesgos'!E829='Tablas AR'!$B$5,2,IF('Análisis de Riesgos'!E829='Tablas AR'!$B$6,3,"")))</f>
        <v/>
      </c>
      <c r="G829" s="76"/>
      <c r="H829" s="76" t="str">
        <f>IF(G829='Tablas AR'!$B$10,1,IF('Análisis de Riesgos'!G829='Tablas AR'!$B$11,2,IF('Análisis de Riesgos'!G829='Tablas AR'!$B$12,3,"")))</f>
        <v/>
      </c>
      <c r="I829" s="76">
        <f t="shared" si="1"/>
        <v>0</v>
      </c>
    </row>
    <row r="830" ht="14.25" customHeight="1">
      <c r="B830" s="84" t="str">
        <f t="array" ref="B830">IFERROR(INDEX(Activos!$B$3:$C$16, MATCH(C830,Activos!$B$3:$B$16),2),"")</f>
        <v/>
      </c>
      <c r="C830" s="84"/>
      <c r="D830" s="84"/>
      <c r="E830" s="76"/>
      <c r="F830" s="76" t="str">
        <f>IF(E830='Tablas AR'!$B$4,1,IF('Análisis de Riesgos'!E830='Tablas AR'!$B$5,2,IF('Análisis de Riesgos'!E830='Tablas AR'!$B$6,3,"")))</f>
        <v/>
      </c>
      <c r="G830" s="76"/>
      <c r="H830" s="76" t="str">
        <f>IF(G830='Tablas AR'!$B$10,1,IF('Análisis de Riesgos'!G830='Tablas AR'!$B$11,2,IF('Análisis de Riesgos'!G830='Tablas AR'!$B$12,3,"")))</f>
        <v/>
      </c>
      <c r="I830" s="76">
        <f t="shared" si="1"/>
        <v>0</v>
      </c>
    </row>
    <row r="831" ht="14.25" customHeight="1">
      <c r="B831" s="84" t="str">
        <f t="array" ref="B831">IFERROR(INDEX(Activos!$B$3:$C$16, MATCH(C831,Activos!$B$3:$B$16),2),"")</f>
        <v/>
      </c>
      <c r="C831" s="84"/>
      <c r="D831" s="84"/>
      <c r="E831" s="76"/>
      <c r="F831" s="76" t="str">
        <f>IF(E831='Tablas AR'!$B$4,1,IF('Análisis de Riesgos'!E831='Tablas AR'!$B$5,2,IF('Análisis de Riesgos'!E831='Tablas AR'!$B$6,3,"")))</f>
        <v/>
      </c>
      <c r="G831" s="76"/>
      <c r="H831" s="76" t="str">
        <f>IF(G831='Tablas AR'!$B$10,1,IF('Análisis de Riesgos'!G831='Tablas AR'!$B$11,2,IF('Análisis de Riesgos'!G831='Tablas AR'!$B$12,3,"")))</f>
        <v/>
      </c>
      <c r="I831" s="76">
        <f t="shared" si="1"/>
        <v>0</v>
      </c>
    </row>
    <row r="832" ht="14.25" customHeight="1">
      <c r="B832" s="84" t="str">
        <f t="array" ref="B832">IFERROR(INDEX(Activos!$B$3:$C$16, MATCH(C832,Activos!$B$3:$B$16),2),"")</f>
        <v/>
      </c>
      <c r="C832" s="84"/>
      <c r="D832" s="84"/>
      <c r="E832" s="76"/>
      <c r="F832" s="76" t="str">
        <f>IF(E832='Tablas AR'!$B$4,1,IF('Análisis de Riesgos'!E832='Tablas AR'!$B$5,2,IF('Análisis de Riesgos'!E832='Tablas AR'!$B$6,3,"")))</f>
        <v/>
      </c>
      <c r="G832" s="76"/>
      <c r="H832" s="76" t="str">
        <f>IF(G832='Tablas AR'!$B$10,1,IF('Análisis de Riesgos'!G832='Tablas AR'!$B$11,2,IF('Análisis de Riesgos'!G832='Tablas AR'!$B$12,3,"")))</f>
        <v/>
      </c>
      <c r="I832" s="76">
        <f t="shared" si="1"/>
        <v>0</v>
      </c>
    </row>
    <row r="833" ht="14.25" customHeight="1">
      <c r="B833" s="84" t="str">
        <f t="array" ref="B833">IFERROR(INDEX(Activos!$B$3:$C$16, MATCH(C833,Activos!$B$3:$B$16),2),"")</f>
        <v/>
      </c>
      <c r="C833" s="84"/>
      <c r="D833" s="84"/>
      <c r="E833" s="76"/>
      <c r="F833" s="76" t="str">
        <f>IF(E833='Tablas AR'!$B$4,1,IF('Análisis de Riesgos'!E833='Tablas AR'!$B$5,2,IF('Análisis de Riesgos'!E833='Tablas AR'!$B$6,3,"")))</f>
        <v/>
      </c>
      <c r="G833" s="76"/>
      <c r="H833" s="76" t="str">
        <f>IF(G833='Tablas AR'!$B$10,1,IF('Análisis de Riesgos'!G833='Tablas AR'!$B$11,2,IF('Análisis de Riesgos'!G833='Tablas AR'!$B$12,3,"")))</f>
        <v/>
      </c>
      <c r="I833" s="76">
        <f t="shared" si="1"/>
        <v>0</v>
      </c>
    </row>
    <row r="834" ht="14.25" customHeight="1">
      <c r="B834" s="84" t="str">
        <f t="array" ref="B834">IFERROR(INDEX(Activos!$B$3:$C$16, MATCH(C834,Activos!$B$3:$B$16),2),"")</f>
        <v/>
      </c>
      <c r="C834" s="84"/>
      <c r="D834" s="84"/>
      <c r="E834" s="76"/>
      <c r="F834" s="76" t="str">
        <f>IF(E834='Tablas AR'!$B$4,1,IF('Análisis de Riesgos'!E834='Tablas AR'!$B$5,2,IF('Análisis de Riesgos'!E834='Tablas AR'!$B$6,3,"")))</f>
        <v/>
      </c>
      <c r="G834" s="76"/>
      <c r="H834" s="76" t="str">
        <f>IF(G834='Tablas AR'!$B$10,1,IF('Análisis de Riesgos'!G834='Tablas AR'!$B$11,2,IF('Análisis de Riesgos'!G834='Tablas AR'!$B$12,3,"")))</f>
        <v/>
      </c>
      <c r="I834" s="76">
        <f t="shared" si="1"/>
        <v>0</v>
      </c>
    </row>
    <row r="835" ht="14.25" customHeight="1">
      <c r="B835" s="84" t="str">
        <f t="array" ref="B835">IFERROR(INDEX(Activos!$B$3:$C$16, MATCH(C835,Activos!$B$3:$B$16),2),"")</f>
        <v/>
      </c>
      <c r="C835" s="84"/>
      <c r="D835" s="84"/>
      <c r="E835" s="76"/>
      <c r="F835" s="76" t="str">
        <f>IF(E835='Tablas AR'!$B$4,1,IF('Análisis de Riesgos'!E835='Tablas AR'!$B$5,2,IF('Análisis de Riesgos'!E835='Tablas AR'!$B$6,3,"")))</f>
        <v/>
      </c>
      <c r="G835" s="76"/>
      <c r="H835" s="76" t="str">
        <f>IF(G835='Tablas AR'!$B$10,1,IF('Análisis de Riesgos'!G835='Tablas AR'!$B$11,2,IF('Análisis de Riesgos'!G835='Tablas AR'!$B$12,3,"")))</f>
        <v/>
      </c>
      <c r="I835" s="76">
        <f t="shared" si="1"/>
        <v>0</v>
      </c>
    </row>
    <row r="836" ht="14.25" customHeight="1">
      <c r="B836" s="84" t="str">
        <f t="array" ref="B836">IFERROR(INDEX(Activos!$B$3:$C$16, MATCH(C836,Activos!$B$3:$B$16),2),"")</f>
        <v/>
      </c>
      <c r="C836" s="84"/>
      <c r="D836" s="84"/>
      <c r="E836" s="76"/>
      <c r="F836" s="76" t="str">
        <f>IF(E836='Tablas AR'!$B$4,1,IF('Análisis de Riesgos'!E836='Tablas AR'!$B$5,2,IF('Análisis de Riesgos'!E836='Tablas AR'!$B$6,3,"")))</f>
        <v/>
      </c>
      <c r="G836" s="76"/>
      <c r="H836" s="76" t="str">
        <f>IF(G836='Tablas AR'!$B$10,1,IF('Análisis de Riesgos'!G836='Tablas AR'!$B$11,2,IF('Análisis de Riesgos'!G836='Tablas AR'!$B$12,3,"")))</f>
        <v/>
      </c>
      <c r="I836" s="76">
        <f t="shared" si="1"/>
        <v>0</v>
      </c>
    </row>
    <row r="837" ht="14.25" customHeight="1">
      <c r="B837" s="84" t="str">
        <f t="array" ref="B837">IFERROR(INDEX(Activos!$B$3:$C$16, MATCH(C837,Activos!$B$3:$B$16),2),"")</f>
        <v/>
      </c>
      <c r="C837" s="84"/>
      <c r="D837" s="84"/>
      <c r="E837" s="76"/>
      <c r="F837" s="76" t="str">
        <f>IF(E837='Tablas AR'!$B$4,1,IF('Análisis de Riesgos'!E837='Tablas AR'!$B$5,2,IF('Análisis de Riesgos'!E837='Tablas AR'!$B$6,3,"")))</f>
        <v/>
      </c>
      <c r="G837" s="76"/>
      <c r="H837" s="76" t="str">
        <f>IF(G837='Tablas AR'!$B$10,1,IF('Análisis de Riesgos'!G837='Tablas AR'!$B$11,2,IF('Análisis de Riesgos'!G837='Tablas AR'!$B$12,3,"")))</f>
        <v/>
      </c>
      <c r="I837" s="76">
        <f t="shared" si="1"/>
        <v>0</v>
      </c>
    </row>
    <row r="838" ht="14.25" customHeight="1">
      <c r="B838" s="84" t="str">
        <f t="array" ref="B838">IFERROR(INDEX(Activos!$B$3:$C$16, MATCH(C838,Activos!$B$3:$B$16),2),"")</f>
        <v/>
      </c>
      <c r="C838" s="84"/>
      <c r="D838" s="84"/>
      <c r="E838" s="76"/>
      <c r="F838" s="76" t="str">
        <f>IF(E838='Tablas AR'!$B$4,1,IF('Análisis de Riesgos'!E838='Tablas AR'!$B$5,2,IF('Análisis de Riesgos'!E838='Tablas AR'!$B$6,3,"")))</f>
        <v/>
      </c>
      <c r="G838" s="76"/>
      <c r="H838" s="76" t="str">
        <f>IF(G838='Tablas AR'!$B$10,1,IF('Análisis de Riesgos'!G838='Tablas AR'!$B$11,2,IF('Análisis de Riesgos'!G838='Tablas AR'!$B$12,3,"")))</f>
        <v/>
      </c>
      <c r="I838" s="76">
        <f t="shared" si="1"/>
        <v>0</v>
      </c>
    </row>
    <row r="839" ht="14.25" customHeight="1">
      <c r="B839" s="84" t="str">
        <f t="array" ref="B839">IFERROR(INDEX(Activos!$B$3:$C$16, MATCH(C839,Activos!$B$3:$B$16),2),"")</f>
        <v/>
      </c>
      <c r="C839" s="84"/>
      <c r="D839" s="84"/>
      <c r="E839" s="76"/>
      <c r="F839" s="76" t="str">
        <f>IF(E839='Tablas AR'!$B$4,1,IF('Análisis de Riesgos'!E839='Tablas AR'!$B$5,2,IF('Análisis de Riesgos'!E839='Tablas AR'!$B$6,3,"")))</f>
        <v/>
      </c>
      <c r="G839" s="76"/>
      <c r="H839" s="76" t="str">
        <f>IF(G839='Tablas AR'!$B$10,1,IF('Análisis de Riesgos'!G839='Tablas AR'!$B$11,2,IF('Análisis de Riesgos'!G839='Tablas AR'!$B$12,3,"")))</f>
        <v/>
      </c>
      <c r="I839" s="76">
        <f t="shared" si="1"/>
        <v>0</v>
      </c>
    </row>
    <row r="840" ht="14.25" customHeight="1">
      <c r="B840" s="84" t="str">
        <f t="array" ref="B840">IFERROR(INDEX(Activos!$B$3:$C$16, MATCH(C840,Activos!$B$3:$B$16),2),"")</f>
        <v/>
      </c>
      <c r="C840" s="84"/>
      <c r="D840" s="84"/>
      <c r="E840" s="76"/>
      <c r="F840" s="76" t="str">
        <f>IF(E840='Tablas AR'!$B$4,1,IF('Análisis de Riesgos'!E840='Tablas AR'!$B$5,2,IF('Análisis de Riesgos'!E840='Tablas AR'!$B$6,3,"")))</f>
        <v/>
      </c>
      <c r="G840" s="76"/>
      <c r="H840" s="76" t="str">
        <f>IF(G840='Tablas AR'!$B$10,1,IF('Análisis de Riesgos'!G840='Tablas AR'!$B$11,2,IF('Análisis de Riesgos'!G840='Tablas AR'!$B$12,3,"")))</f>
        <v/>
      </c>
      <c r="I840" s="76">
        <f t="shared" si="1"/>
        <v>0</v>
      </c>
    </row>
    <row r="841" ht="14.25" customHeight="1">
      <c r="B841" s="84" t="str">
        <f t="array" ref="B841">IFERROR(INDEX(Activos!$B$3:$C$16, MATCH(C841,Activos!$B$3:$B$16),2),"")</f>
        <v/>
      </c>
      <c r="C841" s="84"/>
      <c r="D841" s="84"/>
      <c r="E841" s="76"/>
      <c r="F841" s="76" t="str">
        <f>IF(E841='Tablas AR'!$B$4,1,IF('Análisis de Riesgos'!E841='Tablas AR'!$B$5,2,IF('Análisis de Riesgos'!E841='Tablas AR'!$B$6,3,"")))</f>
        <v/>
      </c>
      <c r="G841" s="76"/>
      <c r="H841" s="76" t="str">
        <f>IF(G841='Tablas AR'!$B$10,1,IF('Análisis de Riesgos'!G841='Tablas AR'!$B$11,2,IF('Análisis de Riesgos'!G841='Tablas AR'!$B$12,3,"")))</f>
        <v/>
      </c>
      <c r="I841" s="76">
        <f t="shared" si="1"/>
        <v>0</v>
      </c>
    </row>
    <row r="842" ht="14.25" customHeight="1">
      <c r="B842" s="84" t="str">
        <f t="array" ref="B842">IFERROR(INDEX(Activos!$B$3:$C$16, MATCH(C842,Activos!$B$3:$B$16),2),"")</f>
        <v/>
      </c>
      <c r="C842" s="84"/>
      <c r="D842" s="84"/>
      <c r="E842" s="76"/>
      <c r="F842" s="76" t="str">
        <f>IF(E842='Tablas AR'!$B$4,1,IF('Análisis de Riesgos'!E842='Tablas AR'!$B$5,2,IF('Análisis de Riesgos'!E842='Tablas AR'!$B$6,3,"")))</f>
        <v/>
      </c>
      <c r="G842" s="76"/>
      <c r="H842" s="76" t="str">
        <f>IF(G842='Tablas AR'!$B$10,1,IF('Análisis de Riesgos'!G842='Tablas AR'!$B$11,2,IF('Análisis de Riesgos'!G842='Tablas AR'!$B$12,3,"")))</f>
        <v/>
      </c>
      <c r="I842" s="76">
        <f t="shared" si="1"/>
        <v>0</v>
      </c>
    </row>
    <row r="843" ht="14.25" customHeight="1">
      <c r="B843" s="84" t="str">
        <f t="array" ref="B843">IFERROR(INDEX(Activos!$B$3:$C$16, MATCH(C843,Activos!$B$3:$B$16),2),"")</f>
        <v/>
      </c>
      <c r="C843" s="84"/>
      <c r="D843" s="84"/>
      <c r="E843" s="76"/>
      <c r="F843" s="76" t="str">
        <f>IF(E843='Tablas AR'!$B$4,1,IF('Análisis de Riesgos'!E843='Tablas AR'!$B$5,2,IF('Análisis de Riesgos'!E843='Tablas AR'!$B$6,3,"")))</f>
        <v/>
      </c>
      <c r="G843" s="76"/>
      <c r="H843" s="76" t="str">
        <f>IF(G843='Tablas AR'!$B$10,1,IF('Análisis de Riesgos'!G843='Tablas AR'!$B$11,2,IF('Análisis de Riesgos'!G843='Tablas AR'!$B$12,3,"")))</f>
        <v/>
      </c>
      <c r="I843" s="76">
        <f t="shared" si="1"/>
        <v>0</v>
      </c>
    </row>
    <row r="844" ht="14.25" customHeight="1">
      <c r="B844" s="84" t="str">
        <f t="array" ref="B844">IFERROR(INDEX(Activos!$B$3:$C$16, MATCH(C844,Activos!$B$3:$B$16),2),"")</f>
        <v/>
      </c>
      <c r="C844" s="84"/>
      <c r="D844" s="84"/>
      <c r="E844" s="76"/>
      <c r="F844" s="76" t="str">
        <f>IF(E844='Tablas AR'!$B$4,1,IF('Análisis de Riesgos'!E844='Tablas AR'!$B$5,2,IF('Análisis de Riesgos'!E844='Tablas AR'!$B$6,3,"")))</f>
        <v/>
      </c>
      <c r="G844" s="76"/>
      <c r="H844" s="76" t="str">
        <f>IF(G844='Tablas AR'!$B$10,1,IF('Análisis de Riesgos'!G844='Tablas AR'!$B$11,2,IF('Análisis de Riesgos'!G844='Tablas AR'!$B$12,3,"")))</f>
        <v/>
      </c>
      <c r="I844" s="76">
        <f t="shared" si="1"/>
        <v>0</v>
      </c>
    </row>
    <row r="845" ht="14.25" customHeight="1">
      <c r="B845" s="84" t="str">
        <f t="array" ref="B845">IFERROR(INDEX(Activos!$B$3:$C$16, MATCH(C845,Activos!$B$3:$B$16),2),"")</f>
        <v/>
      </c>
      <c r="C845" s="84"/>
      <c r="D845" s="84"/>
      <c r="E845" s="76"/>
      <c r="F845" s="76" t="str">
        <f>IF(E845='Tablas AR'!$B$4,1,IF('Análisis de Riesgos'!E845='Tablas AR'!$B$5,2,IF('Análisis de Riesgos'!E845='Tablas AR'!$B$6,3,"")))</f>
        <v/>
      </c>
      <c r="G845" s="76"/>
      <c r="H845" s="76" t="str">
        <f>IF(G845='Tablas AR'!$B$10,1,IF('Análisis de Riesgos'!G845='Tablas AR'!$B$11,2,IF('Análisis de Riesgos'!G845='Tablas AR'!$B$12,3,"")))</f>
        <v/>
      </c>
      <c r="I845" s="76">
        <f t="shared" si="1"/>
        <v>0</v>
      </c>
    </row>
    <row r="846" ht="14.25" customHeight="1">
      <c r="B846" s="84" t="str">
        <f t="array" ref="B846">IFERROR(INDEX(Activos!$B$3:$C$16, MATCH(C846,Activos!$B$3:$B$16),2),"")</f>
        <v/>
      </c>
      <c r="C846" s="84"/>
      <c r="D846" s="84"/>
      <c r="E846" s="76"/>
      <c r="F846" s="76" t="str">
        <f>IF(E846='Tablas AR'!$B$4,1,IF('Análisis de Riesgos'!E846='Tablas AR'!$B$5,2,IF('Análisis de Riesgos'!E846='Tablas AR'!$B$6,3,"")))</f>
        <v/>
      </c>
      <c r="G846" s="76"/>
      <c r="H846" s="76" t="str">
        <f>IF(G846='Tablas AR'!$B$10,1,IF('Análisis de Riesgos'!G846='Tablas AR'!$B$11,2,IF('Análisis de Riesgos'!G846='Tablas AR'!$B$12,3,"")))</f>
        <v/>
      </c>
      <c r="I846" s="76">
        <f t="shared" si="1"/>
        <v>0</v>
      </c>
    </row>
    <row r="847" ht="14.25" customHeight="1">
      <c r="B847" s="84" t="str">
        <f t="array" ref="B847">IFERROR(INDEX(Activos!$B$3:$C$16, MATCH(C847,Activos!$B$3:$B$16),2),"")</f>
        <v/>
      </c>
      <c r="C847" s="84"/>
      <c r="D847" s="84"/>
      <c r="E847" s="76"/>
      <c r="F847" s="76" t="str">
        <f>IF(E847='Tablas AR'!$B$4,1,IF('Análisis de Riesgos'!E847='Tablas AR'!$B$5,2,IF('Análisis de Riesgos'!E847='Tablas AR'!$B$6,3,"")))</f>
        <v/>
      </c>
      <c r="G847" s="76"/>
      <c r="H847" s="76" t="str">
        <f>IF(G847='Tablas AR'!$B$10,1,IF('Análisis de Riesgos'!G847='Tablas AR'!$B$11,2,IF('Análisis de Riesgos'!G847='Tablas AR'!$B$12,3,"")))</f>
        <v/>
      </c>
      <c r="I847" s="76">
        <f t="shared" si="1"/>
        <v>0</v>
      </c>
    </row>
    <row r="848" ht="14.25" customHeight="1">
      <c r="B848" s="84" t="str">
        <f t="array" ref="B848">IFERROR(INDEX(Activos!$B$3:$C$16, MATCH(C848,Activos!$B$3:$B$16),2),"")</f>
        <v/>
      </c>
      <c r="C848" s="84"/>
      <c r="D848" s="84"/>
      <c r="E848" s="76"/>
      <c r="F848" s="76" t="str">
        <f>IF(E848='Tablas AR'!$B$4,1,IF('Análisis de Riesgos'!E848='Tablas AR'!$B$5,2,IF('Análisis de Riesgos'!E848='Tablas AR'!$B$6,3,"")))</f>
        <v/>
      </c>
      <c r="G848" s="76"/>
      <c r="H848" s="76" t="str">
        <f>IF(G848='Tablas AR'!$B$10,1,IF('Análisis de Riesgos'!G848='Tablas AR'!$B$11,2,IF('Análisis de Riesgos'!G848='Tablas AR'!$B$12,3,"")))</f>
        <v/>
      </c>
      <c r="I848" s="76">
        <f t="shared" si="1"/>
        <v>0</v>
      </c>
    </row>
    <row r="849" ht="14.25" customHeight="1">
      <c r="B849" s="84" t="str">
        <f t="array" ref="B849">IFERROR(INDEX(Activos!$B$3:$C$16, MATCH(C849,Activos!$B$3:$B$16),2),"")</f>
        <v/>
      </c>
      <c r="C849" s="84"/>
      <c r="D849" s="84"/>
      <c r="E849" s="76"/>
      <c r="F849" s="76" t="str">
        <f>IF(E849='Tablas AR'!$B$4,1,IF('Análisis de Riesgos'!E849='Tablas AR'!$B$5,2,IF('Análisis de Riesgos'!E849='Tablas AR'!$B$6,3,"")))</f>
        <v/>
      </c>
      <c r="G849" s="76"/>
      <c r="H849" s="76" t="str">
        <f>IF(G849='Tablas AR'!$B$10,1,IF('Análisis de Riesgos'!G849='Tablas AR'!$B$11,2,IF('Análisis de Riesgos'!G849='Tablas AR'!$B$12,3,"")))</f>
        <v/>
      </c>
      <c r="I849" s="76">
        <f t="shared" si="1"/>
        <v>0</v>
      </c>
    </row>
    <row r="850" ht="14.25" customHeight="1">
      <c r="B850" s="84" t="str">
        <f t="array" ref="B850">IFERROR(INDEX(Activos!$B$3:$C$16, MATCH(C850,Activos!$B$3:$B$16),2),"")</f>
        <v/>
      </c>
      <c r="C850" s="84"/>
      <c r="D850" s="84"/>
      <c r="E850" s="76"/>
      <c r="F850" s="76" t="str">
        <f>IF(E850='Tablas AR'!$B$4,1,IF('Análisis de Riesgos'!E850='Tablas AR'!$B$5,2,IF('Análisis de Riesgos'!E850='Tablas AR'!$B$6,3,"")))</f>
        <v/>
      </c>
      <c r="G850" s="76"/>
      <c r="H850" s="76" t="str">
        <f>IF(G850='Tablas AR'!$B$10,1,IF('Análisis de Riesgos'!G850='Tablas AR'!$B$11,2,IF('Análisis de Riesgos'!G850='Tablas AR'!$B$12,3,"")))</f>
        <v/>
      </c>
      <c r="I850" s="76">
        <f t="shared" si="1"/>
        <v>0</v>
      </c>
    </row>
    <row r="851" ht="14.25" customHeight="1">
      <c r="B851" s="84" t="str">
        <f t="array" ref="B851">IFERROR(INDEX(Activos!$B$3:$C$16, MATCH(C851,Activos!$B$3:$B$16),2),"")</f>
        <v/>
      </c>
      <c r="C851" s="84"/>
      <c r="D851" s="84"/>
      <c r="E851" s="76"/>
      <c r="F851" s="76" t="str">
        <f>IF(E851='Tablas AR'!$B$4,1,IF('Análisis de Riesgos'!E851='Tablas AR'!$B$5,2,IF('Análisis de Riesgos'!E851='Tablas AR'!$B$6,3,"")))</f>
        <v/>
      </c>
      <c r="G851" s="76"/>
      <c r="H851" s="76" t="str">
        <f>IF(G851='Tablas AR'!$B$10,1,IF('Análisis de Riesgos'!G851='Tablas AR'!$B$11,2,IF('Análisis de Riesgos'!G851='Tablas AR'!$B$12,3,"")))</f>
        <v/>
      </c>
      <c r="I851" s="76">
        <f t="shared" si="1"/>
        <v>0</v>
      </c>
    </row>
    <row r="852" ht="14.25" customHeight="1">
      <c r="B852" s="84" t="str">
        <f t="array" ref="B852">IFERROR(INDEX(Activos!$B$3:$C$16, MATCH(C852,Activos!$B$3:$B$16),2),"")</f>
        <v/>
      </c>
      <c r="C852" s="84"/>
      <c r="D852" s="84"/>
      <c r="E852" s="76"/>
      <c r="F852" s="76" t="str">
        <f>IF(E852='Tablas AR'!$B$4,1,IF('Análisis de Riesgos'!E852='Tablas AR'!$B$5,2,IF('Análisis de Riesgos'!E852='Tablas AR'!$B$6,3,"")))</f>
        <v/>
      </c>
      <c r="G852" s="76"/>
      <c r="H852" s="76" t="str">
        <f>IF(G852='Tablas AR'!$B$10,1,IF('Análisis de Riesgos'!G852='Tablas AR'!$B$11,2,IF('Análisis de Riesgos'!G852='Tablas AR'!$B$12,3,"")))</f>
        <v/>
      </c>
      <c r="I852" s="76">
        <f t="shared" si="1"/>
        <v>0</v>
      </c>
    </row>
    <row r="853" ht="14.25" customHeight="1">
      <c r="B853" s="84" t="str">
        <f t="array" ref="B853">IFERROR(INDEX(Activos!$B$3:$C$16, MATCH(C853,Activos!$B$3:$B$16),2),"")</f>
        <v/>
      </c>
      <c r="C853" s="84"/>
      <c r="D853" s="84"/>
      <c r="E853" s="76"/>
      <c r="F853" s="76" t="str">
        <f>IF(E853='Tablas AR'!$B$4,1,IF('Análisis de Riesgos'!E853='Tablas AR'!$B$5,2,IF('Análisis de Riesgos'!E853='Tablas AR'!$B$6,3,"")))</f>
        <v/>
      </c>
      <c r="G853" s="76"/>
      <c r="H853" s="76" t="str">
        <f>IF(G853='Tablas AR'!$B$10,1,IF('Análisis de Riesgos'!G853='Tablas AR'!$B$11,2,IF('Análisis de Riesgos'!G853='Tablas AR'!$B$12,3,"")))</f>
        <v/>
      </c>
      <c r="I853" s="76">
        <f t="shared" si="1"/>
        <v>0</v>
      </c>
    </row>
    <row r="854" ht="14.25" customHeight="1">
      <c r="B854" s="84" t="str">
        <f t="array" ref="B854">IFERROR(INDEX(Activos!$B$3:$C$16, MATCH(C854,Activos!$B$3:$B$16),2),"")</f>
        <v/>
      </c>
      <c r="C854" s="84"/>
      <c r="D854" s="84"/>
      <c r="E854" s="76"/>
      <c r="F854" s="76" t="str">
        <f>IF(E854='Tablas AR'!$B$4,1,IF('Análisis de Riesgos'!E854='Tablas AR'!$B$5,2,IF('Análisis de Riesgos'!E854='Tablas AR'!$B$6,3,"")))</f>
        <v/>
      </c>
      <c r="G854" s="76"/>
      <c r="H854" s="76" t="str">
        <f>IF(G854='Tablas AR'!$B$10,1,IF('Análisis de Riesgos'!G854='Tablas AR'!$B$11,2,IF('Análisis de Riesgos'!G854='Tablas AR'!$B$12,3,"")))</f>
        <v/>
      </c>
      <c r="I854" s="76">
        <f t="shared" si="1"/>
        <v>0</v>
      </c>
    </row>
    <row r="855" ht="14.25" customHeight="1">
      <c r="B855" s="84" t="str">
        <f t="array" ref="B855">IFERROR(INDEX(Activos!$B$3:$C$16, MATCH(C855,Activos!$B$3:$B$16),2),"")</f>
        <v/>
      </c>
      <c r="C855" s="84"/>
      <c r="D855" s="84"/>
      <c r="E855" s="76"/>
      <c r="F855" s="76" t="str">
        <f>IF(E855='Tablas AR'!$B$4,1,IF('Análisis de Riesgos'!E855='Tablas AR'!$B$5,2,IF('Análisis de Riesgos'!E855='Tablas AR'!$B$6,3,"")))</f>
        <v/>
      </c>
      <c r="G855" s="76"/>
      <c r="H855" s="76" t="str">
        <f>IF(G855='Tablas AR'!$B$10,1,IF('Análisis de Riesgos'!G855='Tablas AR'!$B$11,2,IF('Análisis de Riesgos'!G855='Tablas AR'!$B$12,3,"")))</f>
        <v/>
      </c>
      <c r="I855" s="76">
        <f t="shared" si="1"/>
        <v>0</v>
      </c>
    </row>
    <row r="856" ht="14.25" customHeight="1">
      <c r="B856" s="84" t="str">
        <f t="array" ref="B856">IFERROR(INDEX(Activos!$B$3:$C$16, MATCH(C856,Activos!$B$3:$B$16),2),"")</f>
        <v/>
      </c>
      <c r="C856" s="84"/>
      <c r="D856" s="84"/>
      <c r="E856" s="76"/>
      <c r="F856" s="76" t="str">
        <f>IF(E856='Tablas AR'!$B$4,1,IF('Análisis de Riesgos'!E856='Tablas AR'!$B$5,2,IF('Análisis de Riesgos'!E856='Tablas AR'!$B$6,3,"")))</f>
        <v/>
      </c>
      <c r="G856" s="76"/>
      <c r="H856" s="76" t="str">
        <f>IF(G856='Tablas AR'!$B$10,1,IF('Análisis de Riesgos'!G856='Tablas AR'!$B$11,2,IF('Análisis de Riesgos'!G856='Tablas AR'!$B$12,3,"")))</f>
        <v/>
      </c>
      <c r="I856" s="76">
        <f t="shared" si="1"/>
        <v>0</v>
      </c>
    </row>
    <row r="857" ht="14.25" customHeight="1">
      <c r="B857" s="84" t="str">
        <f t="array" ref="B857">IFERROR(INDEX(Activos!$B$3:$C$16, MATCH(C857,Activos!$B$3:$B$16),2),"")</f>
        <v/>
      </c>
      <c r="C857" s="84"/>
      <c r="D857" s="84"/>
      <c r="E857" s="76"/>
      <c r="F857" s="76" t="str">
        <f>IF(E857='Tablas AR'!$B$4,1,IF('Análisis de Riesgos'!E857='Tablas AR'!$B$5,2,IF('Análisis de Riesgos'!E857='Tablas AR'!$B$6,3,"")))</f>
        <v/>
      </c>
      <c r="G857" s="76"/>
      <c r="H857" s="76" t="str">
        <f>IF(G857='Tablas AR'!$B$10,1,IF('Análisis de Riesgos'!G857='Tablas AR'!$B$11,2,IF('Análisis de Riesgos'!G857='Tablas AR'!$B$12,3,"")))</f>
        <v/>
      </c>
      <c r="I857" s="76">
        <f t="shared" si="1"/>
        <v>0</v>
      </c>
    </row>
    <row r="858" ht="14.25" customHeight="1">
      <c r="B858" s="84" t="str">
        <f t="array" ref="B858">IFERROR(INDEX(Activos!$B$3:$C$16, MATCH(C858,Activos!$B$3:$B$16),2),"")</f>
        <v/>
      </c>
      <c r="C858" s="84"/>
      <c r="D858" s="84"/>
      <c r="E858" s="76"/>
      <c r="F858" s="76" t="str">
        <f>IF(E858='Tablas AR'!$B$4,1,IF('Análisis de Riesgos'!E858='Tablas AR'!$B$5,2,IF('Análisis de Riesgos'!E858='Tablas AR'!$B$6,3,"")))</f>
        <v/>
      </c>
      <c r="G858" s="76"/>
      <c r="H858" s="76" t="str">
        <f>IF(G858='Tablas AR'!$B$10,1,IF('Análisis de Riesgos'!G858='Tablas AR'!$B$11,2,IF('Análisis de Riesgos'!G858='Tablas AR'!$B$12,3,"")))</f>
        <v/>
      </c>
      <c r="I858" s="76">
        <f t="shared" si="1"/>
        <v>0</v>
      </c>
    </row>
    <row r="859" ht="14.25" customHeight="1">
      <c r="B859" s="84" t="str">
        <f t="array" ref="B859">IFERROR(INDEX(Activos!$B$3:$C$16, MATCH(C859,Activos!$B$3:$B$16),2),"")</f>
        <v/>
      </c>
      <c r="C859" s="84"/>
      <c r="D859" s="84"/>
      <c r="E859" s="76"/>
      <c r="F859" s="76" t="str">
        <f>IF(E859='Tablas AR'!$B$4,1,IF('Análisis de Riesgos'!E859='Tablas AR'!$B$5,2,IF('Análisis de Riesgos'!E859='Tablas AR'!$B$6,3,"")))</f>
        <v/>
      </c>
      <c r="G859" s="76"/>
      <c r="H859" s="76" t="str">
        <f>IF(G859='Tablas AR'!$B$10,1,IF('Análisis de Riesgos'!G859='Tablas AR'!$B$11,2,IF('Análisis de Riesgos'!G859='Tablas AR'!$B$12,3,"")))</f>
        <v/>
      </c>
      <c r="I859" s="76">
        <f t="shared" si="1"/>
        <v>0</v>
      </c>
    </row>
    <row r="860" ht="14.25" customHeight="1">
      <c r="B860" s="84" t="str">
        <f t="array" ref="B860">IFERROR(INDEX(Activos!$B$3:$C$16, MATCH(C860,Activos!$B$3:$B$16),2),"")</f>
        <v/>
      </c>
      <c r="C860" s="84"/>
      <c r="D860" s="84"/>
      <c r="E860" s="76"/>
      <c r="F860" s="76" t="str">
        <f>IF(E860='Tablas AR'!$B$4,1,IF('Análisis de Riesgos'!E860='Tablas AR'!$B$5,2,IF('Análisis de Riesgos'!E860='Tablas AR'!$B$6,3,"")))</f>
        <v/>
      </c>
      <c r="G860" s="76"/>
      <c r="H860" s="76" t="str">
        <f>IF(G860='Tablas AR'!$B$10,1,IF('Análisis de Riesgos'!G860='Tablas AR'!$B$11,2,IF('Análisis de Riesgos'!G860='Tablas AR'!$B$12,3,"")))</f>
        <v/>
      </c>
      <c r="I860" s="76">
        <f t="shared" si="1"/>
        <v>0</v>
      </c>
    </row>
    <row r="861" ht="14.25" customHeight="1">
      <c r="B861" s="84" t="str">
        <f t="array" ref="B861">IFERROR(INDEX(Activos!$B$3:$C$16, MATCH(C861,Activos!$B$3:$B$16),2),"")</f>
        <v/>
      </c>
      <c r="C861" s="84"/>
      <c r="D861" s="84"/>
      <c r="E861" s="76"/>
      <c r="F861" s="76" t="str">
        <f>IF(E861='Tablas AR'!$B$4,1,IF('Análisis de Riesgos'!E861='Tablas AR'!$B$5,2,IF('Análisis de Riesgos'!E861='Tablas AR'!$B$6,3,"")))</f>
        <v/>
      </c>
      <c r="G861" s="76"/>
      <c r="H861" s="76" t="str">
        <f>IF(G861='Tablas AR'!$B$10,1,IF('Análisis de Riesgos'!G861='Tablas AR'!$B$11,2,IF('Análisis de Riesgos'!G861='Tablas AR'!$B$12,3,"")))</f>
        <v/>
      </c>
      <c r="I861" s="76">
        <f t="shared" si="1"/>
        <v>0</v>
      </c>
    </row>
    <row r="862" ht="14.25" customHeight="1">
      <c r="B862" s="84" t="str">
        <f t="array" ref="B862">IFERROR(INDEX(Activos!$B$3:$C$16, MATCH(C862,Activos!$B$3:$B$16),2),"")</f>
        <v/>
      </c>
      <c r="C862" s="84"/>
      <c r="D862" s="84"/>
      <c r="E862" s="76"/>
      <c r="F862" s="76" t="str">
        <f>IF(E862='Tablas AR'!$B$4,1,IF('Análisis de Riesgos'!E862='Tablas AR'!$B$5,2,IF('Análisis de Riesgos'!E862='Tablas AR'!$B$6,3,"")))</f>
        <v/>
      </c>
      <c r="G862" s="76"/>
      <c r="H862" s="76" t="str">
        <f>IF(G862='Tablas AR'!$B$10,1,IF('Análisis de Riesgos'!G862='Tablas AR'!$B$11,2,IF('Análisis de Riesgos'!G862='Tablas AR'!$B$12,3,"")))</f>
        <v/>
      </c>
      <c r="I862" s="76">
        <f t="shared" si="1"/>
        <v>0</v>
      </c>
    </row>
    <row r="863" ht="14.25" customHeight="1">
      <c r="B863" s="84" t="str">
        <f t="array" ref="B863">IFERROR(INDEX(Activos!$B$3:$C$16, MATCH(C863,Activos!$B$3:$B$16),2),"")</f>
        <v/>
      </c>
      <c r="C863" s="84"/>
      <c r="D863" s="84"/>
      <c r="E863" s="76"/>
      <c r="F863" s="76" t="str">
        <f>IF(E863='Tablas AR'!$B$4,1,IF('Análisis de Riesgos'!E863='Tablas AR'!$B$5,2,IF('Análisis de Riesgos'!E863='Tablas AR'!$B$6,3,"")))</f>
        <v/>
      </c>
      <c r="G863" s="76"/>
      <c r="H863" s="76" t="str">
        <f>IF(G863='Tablas AR'!$B$10,1,IF('Análisis de Riesgos'!G863='Tablas AR'!$B$11,2,IF('Análisis de Riesgos'!G863='Tablas AR'!$B$12,3,"")))</f>
        <v/>
      </c>
      <c r="I863" s="76">
        <f t="shared" si="1"/>
        <v>0</v>
      </c>
    </row>
    <row r="864" ht="14.25" customHeight="1">
      <c r="B864" s="84" t="str">
        <f t="array" ref="B864">IFERROR(INDEX(Activos!$B$3:$C$16, MATCH(C864,Activos!$B$3:$B$16),2),"")</f>
        <v/>
      </c>
      <c r="C864" s="84"/>
      <c r="D864" s="84"/>
      <c r="E864" s="76"/>
      <c r="F864" s="76" t="str">
        <f>IF(E864='Tablas AR'!$B$4,1,IF('Análisis de Riesgos'!E864='Tablas AR'!$B$5,2,IF('Análisis de Riesgos'!E864='Tablas AR'!$B$6,3,"")))</f>
        <v/>
      </c>
      <c r="G864" s="76"/>
      <c r="H864" s="76" t="str">
        <f>IF(G864='Tablas AR'!$B$10,1,IF('Análisis de Riesgos'!G864='Tablas AR'!$B$11,2,IF('Análisis de Riesgos'!G864='Tablas AR'!$B$12,3,"")))</f>
        <v/>
      </c>
      <c r="I864" s="76">
        <f t="shared" si="1"/>
        <v>0</v>
      </c>
    </row>
    <row r="865" ht="14.25" customHeight="1">
      <c r="B865" s="84" t="str">
        <f t="array" ref="B865">IFERROR(INDEX(Activos!$B$3:$C$16, MATCH(C865,Activos!$B$3:$B$16),2),"")</f>
        <v/>
      </c>
      <c r="C865" s="84"/>
      <c r="D865" s="84"/>
      <c r="E865" s="76"/>
      <c r="F865" s="76" t="str">
        <f>IF(E865='Tablas AR'!$B$4,1,IF('Análisis de Riesgos'!E865='Tablas AR'!$B$5,2,IF('Análisis de Riesgos'!E865='Tablas AR'!$B$6,3,"")))</f>
        <v/>
      </c>
      <c r="G865" s="76"/>
      <c r="H865" s="76" t="str">
        <f>IF(G865='Tablas AR'!$B$10,1,IF('Análisis de Riesgos'!G865='Tablas AR'!$B$11,2,IF('Análisis de Riesgos'!G865='Tablas AR'!$B$12,3,"")))</f>
        <v/>
      </c>
      <c r="I865" s="76">
        <f t="shared" si="1"/>
        <v>0</v>
      </c>
    </row>
    <row r="866" ht="14.25" customHeight="1">
      <c r="B866" s="84" t="str">
        <f t="array" ref="B866">IFERROR(INDEX(Activos!$B$3:$C$16, MATCH(C866,Activos!$B$3:$B$16),2),"")</f>
        <v/>
      </c>
      <c r="C866" s="84"/>
      <c r="D866" s="84"/>
      <c r="E866" s="76"/>
      <c r="F866" s="76" t="str">
        <f>IF(E866='Tablas AR'!$B$4,1,IF('Análisis de Riesgos'!E866='Tablas AR'!$B$5,2,IF('Análisis de Riesgos'!E866='Tablas AR'!$B$6,3,"")))</f>
        <v/>
      </c>
      <c r="G866" s="76"/>
      <c r="H866" s="76" t="str">
        <f>IF(G866='Tablas AR'!$B$10,1,IF('Análisis de Riesgos'!G866='Tablas AR'!$B$11,2,IF('Análisis de Riesgos'!G866='Tablas AR'!$B$12,3,"")))</f>
        <v/>
      </c>
      <c r="I866" s="76">
        <f t="shared" si="1"/>
        <v>0</v>
      </c>
    </row>
    <row r="867" ht="14.25" customHeight="1">
      <c r="B867" s="84" t="str">
        <f t="array" ref="B867">IFERROR(INDEX(Activos!$B$3:$C$16, MATCH(C867,Activos!$B$3:$B$16),2),"")</f>
        <v/>
      </c>
      <c r="C867" s="84"/>
      <c r="D867" s="84"/>
      <c r="E867" s="76"/>
      <c r="F867" s="76" t="str">
        <f>IF(E867='Tablas AR'!$B$4,1,IF('Análisis de Riesgos'!E867='Tablas AR'!$B$5,2,IF('Análisis de Riesgos'!E867='Tablas AR'!$B$6,3,"")))</f>
        <v/>
      </c>
      <c r="G867" s="76"/>
      <c r="H867" s="76" t="str">
        <f>IF(G867='Tablas AR'!$B$10,1,IF('Análisis de Riesgos'!G867='Tablas AR'!$B$11,2,IF('Análisis de Riesgos'!G867='Tablas AR'!$B$12,3,"")))</f>
        <v/>
      </c>
      <c r="I867" s="76">
        <f t="shared" si="1"/>
        <v>0</v>
      </c>
    </row>
    <row r="868" ht="14.25" customHeight="1">
      <c r="B868" s="84" t="str">
        <f t="array" ref="B868">IFERROR(INDEX(Activos!$B$3:$C$16, MATCH(C868,Activos!$B$3:$B$16),2),"")</f>
        <v/>
      </c>
      <c r="C868" s="84"/>
      <c r="D868" s="84"/>
      <c r="E868" s="76"/>
      <c r="F868" s="76" t="str">
        <f>IF(E868='Tablas AR'!$B$4,1,IF('Análisis de Riesgos'!E868='Tablas AR'!$B$5,2,IF('Análisis de Riesgos'!E868='Tablas AR'!$B$6,3,"")))</f>
        <v/>
      </c>
      <c r="G868" s="76"/>
      <c r="H868" s="76" t="str">
        <f>IF(G868='Tablas AR'!$B$10,1,IF('Análisis de Riesgos'!G868='Tablas AR'!$B$11,2,IF('Análisis de Riesgos'!G868='Tablas AR'!$B$12,3,"")))</f>
        <v/>
      </c>
      <c r="I868" s="76">
        <f t="shared" si="1"/>
        <v>0</v>
      </c>
    </row>
    <row r="869" ht="14.25" customHeight="1">
      <c r="B869" s="84" t="str">
        <f t="array" ref="B869">IFERROR(INDEX(Activos!$B$3:$C$16, MATCH(C869,Activos!$B$3:$B$16),2),"")</f>
        <v/>
      </c>
      <c r="C869" s="84"/>
      <c r="D869" s="84"/>
      <c r="E869" s="76"/>
      <c r="F869" s="76" t="str">
        <f>IF(E869='Tablas AR'!$B$4,1,IF('Análisis de Riesgos'!E869='Tablas AR'!$B$5,2,IF('Análisis de Riesgos'!E869='Tablas AR'!$B$6,3,"")))</f>
        <v/>
      </c>
      <c r="G869" s="76"/>
      <c r="H869" s="76" t="str">
        <f>IF(G869='Tablas AR'!$B$10,1,IF('Análisis de Riesgos'!G869='Tablas AR'!$B$11,2,IF('Análisis de Riesgos'!G869='Tablas AR'!$B$12,3,"")))</f>
        <v/>
      </c>
      <c r="I869" s="76">
        <f t="shared" si="1"/>
        <v>0</v>
      </c>
    </row>
    <row r="870" ht="14.25" customHeight="1">
      <c r="B870" s="84" t="str">
        <f t="array" ref="B870">IFERROR(INDEX(Activos!$B$3:$C$16, MATCH(C870,Activos!$B$3:$B$16),2),"")</f>
        <v/>
      </c>
      <c r="C870" s="84"/>
      <c r="D870" s="84"/>
      <c r="E870" s="76"/>
      <c r="F870" s="76" t="str">
        <f>IF(E870='Tablas AR'!$B$4,1,IF('Análisis de Riesgos'!E870='Tablas AR'!$B$5,2,IF('Análisis de Riesgos'!E870='Tablas AR'!$B$6,3,"")))</f>
        <v/>
      </c>
      <c r="G870" s="76"/>
      <c r="H870" s="76" t="str">
        <f>IF(G870='Tablas AR'!$B$10,1,IF('Análisis de Riesgos'!G870='Tablas AR'!$B$11,2,IF('Análisis de Riesgos'!G870='Tablas AR'!$B$12,3,"")))</f>
        <v/>
      </c>
      <c r="I870" s="76">
        <f t="shared" si="1"/>
        <v>0</v>
      </c>
    </row>
    <row r="871" ht="14.25" customHeight="1">
      <c r="B871" s="84" t="str">
        <f t="array" ref="B871">IFERROR(INDEX(Activos!$B$3:$C$16, MATCH(C871,Activos!$B$3:$B$16),2),"")</f>
        <v/>
      </c>
      <c r="C871" s="84"/>
      <c r="D871" s="84"/>
      <c r="E871" s="76"/>
      <c r="F871" s="76" t="str">
        <f>IF(E871='Tablas AR'!$B$4,1,IF('Análisis de Riesgos'!E871='Tablas AR'!$B$5,2,IF('Análisis de Riesgos'!E871='Tablas AR'!$B$6,3,"")))</f>
        <v/>
      </c>
      <c r="G871" s="76"/>
      <c r="H871" s="76" t="str">
        <f>IF(G871='Tablas AR'!$B$10,1,IF('Análisis de Riesgos'!G871='Tablas AR'!$B$11,2,IF('Análisis de Riesgos'!G871='Tablas AR'!$B$12,3,"")))</f>
        <v/>
      </c>
      <c r="I871" s="76">
        <f t="shared" si="1"/>
        <v>0</v>
      </c>
    </row>
    <row r="872" ht="14.25" customHeight="1">
      <c r="B872" s="84" t="str">
        <f t="array" ref="B872">IFERROR(INDEX(Activos!$B$3:$C$16, MATCH(C872,Activos!$B$3:$B$16),2),"")</f>
        <v/>
      </c>
      <c r="C872" s="84"/>
      <c r="D872" s="84"/>
      <c r="E872" s="76"/>
      <c r="F872" s="76" t="str">
        <f>IF(E872='Tablas AR'!$B$4,1,IF('Análisis de Riesgos'!E872='Tablas AR'!$B$5,2,IF('Análisis de Riesgos'!E872='Tablas AR'!$B$6,3,"")))</f>
        <v/>
      </c>
      <c r="G872" s="76"/>
      <c r="H872" s="76" t="str">
        <f>IF(G872='Tablas AR'!$B$10,1,IF('Análisis de Riesgos'!G872='Tablas AR'!$B$11,2,IF('Análisis de Riesgos'!G872='Tablas AR'!$B$12,3,"")))</f>
        <v/>
      </c>
      <c r="I872" s="76">
        <f t="shared" si="1"/>
        <v>0</v>
      </c>
    </row>
    <row r="873" ht="14.25" customHeight="1">
      <c r="B873" s="84" t="str">
        <f t="array" ref="B873">IFERROR(INDEX(Activos!$B$3:$C$16, MATCH(C873,Activos!$B$3:$B$16),2),"")</f>
        <v/>
      </c>
      <c r="C873" s="84"/>
      <c r="D873" s="84"/>
      <c r="E873" s="76"/>
      <c r="F873" s="76" t="str">
        <f>IF(E873='Tablas AR'!$B$4,1,IF('Análisis de Riesgos'!E873='Tablas AR'!$B$5,2,IF('Análisis de Riesgos'!E873='Tablas AR'!$B$6,3,"")))</f>
        <v/>
      </c>
      <c r="G873" s="76"/>
      <c r="H873" s="76" t="str">
        <f>IF(G873='Tablas AR'!$B$10,1,IF('Análisis de Riesgos'!G873='Tablas AR'!$B$11,2,IF('Análisis de Riesgos'!G873='Tablas AR'!$B$12,3,"")))</f>
        <v/>
      </c>
      <c r="I873" s="76">
        <f t="shared" si="1"/>
        <v>0</v>
      </c>
    </row>
    <row r="874" ht="14.25" customHeight="1">
      <c r="B874" s="84" t="str">
        <f t="array" ref="B874">IFERROR(INDEX(Activos!$B$3:$C$16, MATCH(C874,Activos!$B$3:$B$16),2),"")</f>
        <v/>
      </c>
      <c r="C874" s="84"/>
      <c r="D874" s="84"/>
      <c r="E874" s="76"/>
      <c r="F874" s="76" t="str">
        <f>IF(E874='Tablas AR'!$B$4,1,IF('Análisis de Riesgos'!E874='Tablas AR'!$B$5,2,IF('Análisis de Riesgos'!E874='Tablas AR'!$B$6,3,"")))</f>
        <v/>
      </c>
      <c r="G874" s="76"/>
      <c r="H874" s="76" t="str">
        <f>IF(G874='Tablas AR'!$B$10,1,IF('Análisis de Riesgos'!G874='Tablas AR'!$B$11,2,IF('Análisis de Riesgos'!G874='Tablas AR'!$B$12,3,"")))</f>
        <v/>
      </c>
      <c r="I874" s="76">
        <f t="shared" si="1"/>
        <v>0</v>
      </c>
    </row>
    <row r="875" ht="14.25" customHeight="1">
      <c r="B875" s="84" t="str">
        <f t="array" ref="B875">IFERROR(INDEX(Activos!$B$3:$C$16, MATCH(C875,Activos!$B$3:$B$16),2),"")</f>
        <v/>
      </c>
      <c r="C875" s="84"/>
      <c r="D875" s="84"/>
      <c r="E875" s="76"/>
      <c r="F875" s="76" t="str">
        <f>IF(E875='Tablas AR'!$B$4,1,IF('Análisis de Riesgos'!E875='Tablas AR'!$B$5,2,IF('Análisis de Riesgos'!E875='Tablas AR'!$B$6,3,"")))</f>
        <v/>
      </c>
      <c r="G875" s="76"/>
      <c r="H875" s="76" t="str">
        <f>IF(G875='Tablas AR'!$B$10,1,IF('Análisis de Riesgos'!G875='Tablas AR'!$B$11,2,IF('Análisis de Riesgos'!G875='Tablas AR'!$B$12,3,"")))</f>
        <v/>
      </c>
      <c r="I875" s="76">
        <f t="shared" si="1"/>
        <v>0</v>
      </c>
    </row>
    <row r="876" ht="14.25" customHeight="1">
      <c r="B876" s="84" t="str">
        <f t="array" ref="B876">IFERROR(INDEX(Activos!$B$3:$C$16, MATCH(C876,Activos!$B$3:$B$16),2),"")</f>
        <v/>
      </c>
      <c r="C876" s="84"/>
      <c r="D876" s="84"/>
      <c r="E876" s="76"/>
      <c r="F876" s="76" t="str">
        <f>IF(E876='Tablas AR'!$B$4,1,IF('Análisis de Riesgos'!E876='Tablas AR'!$B$5,2,IF('Análisis de Riesgos'!E876='Tablas AR'!$B$6,3,"")))</f>
        <v/>
      </c>
      <c r="G876" s="76"/>
      <c r="H876" s="76" t="str">
        <f>IF(G876='Tablas AR'!$B$10,1,IF('Análisis de Riesgos'!G876='Tablas AR'!$B$11,2,IF('Análisis de Riesgos'!G876='Tablas AR'!$B$12,3,"")))</f>
        <v/>
      </c>
      <c r="I876" s="76">
        <f t="shared" si="1"/>
        <v>0</v>
      </c>
    </row>
    <row r="877" ht="14.25" customHeight="1">
      <c r="B877" s="84" t="str">
        <f t="array" ref="B877">IFERROR(INDEX(Activos!$B$3:$C$16, MATCH(C877,Activos!$B$3:$B$16),2),"")</f>
        <v/>
      </c>
      <c r="C877" s="84"/>
      <c r="D877" s="84"/>
      <c r="E877" s="76"/>
      <c r="F877" s="76" t="str">
        <f>IF(E877='Tablas AR'!$B$4,1,IF('Análisis de Riesgos'!E877='Tablas AR'!$B$5,2,IF('Análisis de Riesgos'!E877='Tablas AR'!$B$6,3,"")))</f>
        <v/>
      </c>
      <c r="G877" s="76"/>
      <c r="H877" s="76" t="str">
        <f>IF(G877='Tablas AR'!$B$10,1,IF('Análisis de Riesgos'!G877='Tablas AR'!$B$11,2,IF('Análisis de Riesgos'!G877='Tablas AR'!$B$12,3,"")))</f>
        <v/>
      </c>
      <c r="I877" s="76">
        <f t="shared" si="1"/>
        <v>0</v>
      </c>
    </row>
    <row r="878" ht="14.25" customHeight="1">
      <c r="B878" s="84" t="str">
        <f t="array" ref="B878">IFERROR(INDEX(Activos!$B$3:$C$16, MATCH(C878,Activos!$B$3:$B$16),2),"")</f>
        <v/>
      </c>
      <c r="C878" s="84"/>
      <c r="D878" s="84"/>
      <c r="E878" s="76"/>
      <c r="F878" s="76" t="str">
        <f>IF(E878='Tablas AR'!$B$4,1,IF('Análisis de Riesgos'!E878='Tablas AR'!$B$5,2,IF('Análisis de Riesgos'!E878='Tablas AR'!$B$6,3,"")))</f>
        <v/>
      </c>
      <c r="G878" s="76"/>
      <c r="H878" s="76" t="str">
        <f>IF(G878='Tablas AR'!$B$10,1,IF('Análisis de Riesgos'!G878='Tablas AR'!$B$11,2,IF('Análisis de Riesgos'!G878='Tablas AR'!$B$12,3,"")))</f>
        <v/>
      </c>
      <c r="I878" s="76">
        <f t="shared" si="1"/>
        <v>0</v>
      </c>
    </row>
    <row r="879" ht="14.25" customHeight="1">
      <c r="B879" s="84" t="str">
        <f t="array" ref="B879">IFERROR(INDEX(Activos!$B$3:$C$16, MATCH(C879,Activos!$B$3:$B$16),2),"")</f>
        <v/>
      </c>
      <c r="C879" s="84"/>
      <c r="D879" s="84"/>
      <c r="E879" s="76"/>
      <c r="F879" s="76" t="str">
        <f>IF(E879='Tablas AR'!$B$4,1,IF('Análisis de Riesgos'!E879='Tablas AR'!$B$5,2,IF('Análisis de Riesgos'!E879='Tablas AR'!$B$6,3,"")))</f>
        <v/>
      </c>
      <c r="G879" s="76"/>
      <c r="H879" s="76" t="str">
        <f>IF(G879='Tablas AR'!$B$10,1,IF('Análisis de Riesgos'!G879='Tablas AR'!$B$11,2,IF('Análisis de Riesgos'!G879='Tablas AR'!$B$12,3,"")))</f>
        <v/>
      </c>
      <c r="I879" s="76">
        <f t="shared" si="1"/>
        <v>0</v>
      </c>
    </row>
    <row r="880" ht="14.25" customHeight="1">
      <c r="B880" s="84" t="str">
        <f t="array" ref="B880">IFERROR(INDEX(Activos!$B$3:$C$16, MATCH(C880,Activos!$B$3:$B$16),2),"")</f>
        <v/>
      </c>
      <c r="C880" s="84"/>
      <c r="D880" s="84"/>
      <c r="E880" s="76"/>
      <c r="F880" s="76" t="str">
        <f>IF(E880='Tablas AR'!$B$4,1,IF('Análisis de Riesgos'!E880='Tablas AR'!$B$5,2,IF('Análisis de Riesgos'!E880='Tablas AR'!$B$6,3,"")))</f>
        <v/>
      </c>
      <c r="G880" s="76"/>
      <c r="H880" s="76" t="str">
        <f>IF(G880='Tablas AR'!$B$10,1,IF('Análisis de Riesgos'!G880='Tablas AR'!$B$11,2,IF('Análisis de Riesgos'!G880='Tablas AR'!$B$12,3,"")))</f>
        <v/>
      </c>
      <c r="I880" s="76">
        <f t="shared" si="1"/>
        <v>0</v>
      </c>
    </row>
    <row r="881" ht="14.25" customHeight="1">
      <c r="B881" s="84" t="str">
        <f t="array" ref="B881">IFERROR(INDEX(Activos!$B$3:$C$16, MATCH(C881,Activos!$B$3:$B$16),2),"")</f>
        <v/>
      </c>
      <c r="C881" s="84"/>
      <c r="D881" s="84"/>
      <c r="E881" s="76"/>
      <c r="F881" s="76" t="str">
        <f>IF(E881='Tablas AR'!$B$4,1,IF('Análisis de Riesgos'!E881='Tablas AR'!$B$5,2,IF('Análisis de Riesgos'!E881='Tablas AR'!$B$6,3,"")))</f>
        <v/>
      </c>
      <c r="G881" s="76"/>
      <c r="H881" s="76" t="str">
        <f>IF(G881='Tablas AR'!$B$10,1,IF('Análisis de Riesgos'!G881='Tablas AR'!$B$11,2,IF('Análisis de Riesgos'!G881='Tablas AR'!$B$12,3,"")))</f>
        <v/>
      </c>
      <c r="I881" s="76">
        <f t="shared" si="1"/>
        <v>0</v>
      </c>
    </row>
    <row r="882" ht="14.25" customHeight="1">
      <c r="B882" s="84" t="str">
        <f t="array" ref="B882">IFERROR(INDEX(Activos!$B$3:$C$16, MATCH(C882,Activos!$B$3:$B$16),2),"")</f>
        <v/>
      </c>
      <c r="C882" s="84"/>
      <c r="D882" s="84"/>
      <c r="E882" s="76"/>
      <c r="F882" s="76" t="str">
        <f>IF(E882='Tablas AR'!$B$4,1,IF('Análisis de Riesgos'!E882='Tablas AR'!$B$5,2,IF('Análisis de Riesgos'!E882='Tablas AR'!$B$6,3,"")))</f>
        <v/>
      </c>
      <c r="G882" s="76"/>
      <c r="H882" s="76" t="str">
        <f>IF(G882='Tablas AR'!$B$10,1,IF('Análisis de Riesgos'!G882='Tablas AR'!$B$11,2,IF('Análisis de Riesgos'!G882='Tablas AR'!$B$12,3,"")))</f>
        <v/>
      </c>
      <c r="I882" s="76">
        <f t="shared" si="1"/>
        <v>0</v>
      </c>
    </row>
    <row r="883" ht="14.25" customHeight="1">
      <c r="B883" s="84" t="str">
        <f t="array" ref="B883">IFERROR(INDEX(Activos!$B$3:$C$16, MATCH(C883,Activos!$B$3:$B$16),2),"")</f>
        <v/>
      </c>
      <c r="C883" s="84"/>
      <c r="D883" s="84"/>
      <c r="E883" s="76"/>
      <c r="F883" s="76" t="str">
        <f>IF(E883='Tablas AR'!$B$4,1,IF('Análisis de Riesgos'!E883='Tablas AR'!$B$5,2,IF('Análisis de Riesgos'!E883='Tablas AR'!$B$6,3,"")))</f>
        <v/>
      </c>
      <c r="G883" s="76"/>
      <c r="H883" s="76" t="str">
        <f>IF(G883='Tablas AR'!$B$10,1,IF('Análisis de Riesgos'!G883='Tablas AR'!$B$11,2,IF('Análisis de Riesgos'!G883='Tablas AR'!$B$12,3,"")))</f>
        <v/>
      </c>
      <c r="I883" s="76">
        <f t="shared" si="1"/>
        <v>0</v>
      </c>
    </row>
    <row r="884" ht="14.25" customHeight="1">
      <c r="B884" s="84" t="str">
        <f t="array" ref="B884">IFERROR(INDEX(Activos!$B$3:$C$16, MATCH(C884,Activos!$B$3:$B$16),2),"")</f>
        <v/>
      </c>
      <c r="C884" s="84"/>
      <c r="D884" s="84"/>
      <c r="E884" s="76"/>
      <c r="F884" s="76" t="str">
        <f>IF(E884='Tablas AR'!$B$4,1,IF('Análisis de Riesgos'!E884='Tablas AR'!$B$5,2,IF('Análisis de Riesgos'!E884='Tablas AR'!$B$6,3,"")))</f>
        <v/>
      </c>
      <c r="G884" s="76"/>
      <c r="H884" s="76" t="str">
        <f>IF(G884='Tablas AR'!$B$10,1,IF('Análisis de Riesgos'!G884='Tablas AR'!$B$11,2,IF('Análisis de Riesgos'!G884='Tablas AR'!$B$12,3,"")))</f>
        <v/>
      </c>
      <c r="I884" s="76">
        <f t="shared" si="1"/>
        <v>0</v>
      </c>
    </row>
    <row r="885" ht="14.25" customHeight="1">
      <c r="B885" s="84" t="str">
        <f t="array" ref="B885">IFERROR(INDEX(Activos!$B$3:$C$16, MATCH(C885,Activos!$B$3:$B$16),2),"")</f>
        <v/>
      </c>
      <c r="C885" s="84"/>
      <c r="D885" s="84"/>
      <c r="E885" s="76"/>
      <c r="F885" s="76" t="str">
        <f>IF(E885='Tablas AR'!$B$4,1,IF('Análisis de Riesgos'!E885='Tablas AR'!$B$5,2,IF('Análisis de Riesgos'!E885='Tablas AR'!$B$6,3,"")))</f>
        <v/>
      </c>
      <c r="G885" s="76"/>
      <c r="H885" s="76" t="str">
        <f>IF(G885='Tablas AR'!$B$10,1,IF('Análisis de Riesgos'!G885='Tablas AR'!$B$11,2,IF('Análisis de Riesgos'!G885='Tablas AR'!$B$12,3,"")))</f>
        <v/>
      </c>
      <c r="I885" s="76">
        <f t="shared" si="1"/>
        <v>0</v>
      </c>
    </row>
    <row r="886" ht="14.25" customHeight="1">
      <c r="B886" s="84" t="str">
        <f t="array" ref="B886">IFERROR(INDEX(Activos!$B$3:$C$16, MATCH(C886,Activos!$B$3:$B$16),2),"")</f>
        <v/>
      </c>
      <c r="C886" s="84"/>
      <c r="D886" s="84"/>
      <c r="E886" s="76"/>
      <c r="F886" s="76" t="str">
        <f>IF(E886='Tablas AR'!$B$4,1,IF('Análisis de Riesgos'!E886='Tablas AR'!$B$5,2,IF('Análisis de Riesgos'!E886='Tablas AR'!$B$6,3,"")))</f>
        <v/>
      </c>
      <c r="G886" s="76"/>
      <c r="H886" s="76" t="str">
        <f>IF(G886='Tablas AR'!$B$10,1,IF('Análisis de Riesgos'!G886='Tablas AR'!$B$11,2,IF('Análisis de Riesgos'!G886='Tablas AR'!$B$12,3,"")))</f>
        <v/>
      </c>
      <c r="I886" s="76">
        <f t="shared" si="1"/>
        <v>0</v>
      </c>
    </row>
    <row r="887" ht="14.25" customHeight="1">
      <c r="B887" s="84" t="str">
        <f t="array" ref="B887">IFERROR(INDEX(Activos!$B$3:$C$16, MATCH(C887,Activos!$B$3:$B$16),2),"")</f>
        <v/>
      </c>
      <c r="C887" s="84"/>
      <c r="D887" s="84"/>
      <c r="E887" s="76"/>
      <c r="F887" s="76" t="str">
        <f>IF(E887='Tablas AR'!$B$4,1,IF('Análisis de Riesgos'!E887='Tablas AR'!$B$5,2,IF('Análisis de Riesgos'!E887='Tablas AR'!$B$6,3,"")))</f>
        <v/>
      </c>
      <c r="G887" s="76"/>
      <c r="H887" s="76" t="str">
        <f>IF(G887='Tablas AR'!$B$10,1,IF('Análisis de Riesgos'!G887='Tablas AR'!$B$11,2,IF('Análisis de Riesgos'!G887='Tablas AR'!$B$12,3,"")))</f>
        <v/>
      </c>
      <c r="I887" s="76">
        <f t="shared" si="1"/>
        <v>0</v>
      </c>
    </row>
    <row r="888" ht="14.25" customHeight="1">
      <c r="B888" s="84" t="str">
        <f t="array" ref="B888">IFERROR(INDEX(Activos!$B$3:$C$16, MATCH(C888,Activos!$B$3:$B$16),2),"")</f>
        <v/>
      </c>
      <c r="C888" s="84"/>
      <c r="D888" s="84"/>
      <c r="E888" s="76"/>
      <c r="F888" s="76" t="str">
        <f>IF(E888='Tablas AR'!$B$4,1,IF('Análisis de Riesgos'!E888='Tablas AR'!$B$5,2,IF('Análisis de Riesgos'!E888='Tablas AR'!$B$6,3,"")))</f>
        <v/>
      </c>
      <c r="G888" s="76"/>
      <c r="H888" s="76" t="str">
        <f>IF(G888='Tablas AR'!$B$10,1,IF('Análisis de Riesgos'!G888='Tablas AR'!$B$11,2,IF('Análisis de Riesgos'!G888='Tablas AR'!$B$12,3,"")))</f>
        <v/>
      </c>
      <c r="I888" s="76">
        <f t="shared" si="1"/>
        <v>0</v>
      </c>
    </row>
    <row r="889" ht="14.25" customHeight="1">
      <c r="B889" s="84" t="str">
        <f t="array" ref="B889">IFERROR(INDEX(Activos!$B$3:$C$16, MATCH(C889,Activos!$B$3:$B$16),2),"")</f>
        <v/>
      </c>
      <c r="C889" s="84"/>
      <c r="D889" s="84"/>
      <c r="E889" s="76"/>
      <c r="F889" s="76" t="str">
        <f>IF(E889='Tablas AR'!$B$4,1,IF('Análisis de Riesgos'!E889='Tablas AR'!$B$5,2,IF('Análisis de Riesgos'!E889='Tablas AR'!$B$6,3,"")))</f>
        <v/>
      </c>
      <c r="G889" s="76"/>
      <c r="H889" s="76" t="str">
        <f>IF(G889='Tablas AR'!$B$10,1,IF('Análisis de Riesgos'!G889='Tablas AR'!$B$11,2,IF('Análisis de Riesgos'!G889='Tablas AR'!$B$12,3,"")))</f>
        <v/>
      </c>
      <c r="I889" s="76">
        <f t="shared" si="1"/>
        <v>0</v>
      </c>
    </row>
    <row r="890" ht="14.25" customHeight="1">
      <c r="B890" s="84" t="str">
        <f t="array" ref="B890">IFERROR(INDEX(Activos!$B$3:$C$16, MATCH(C890,Activos!$B$3:$B$16),2),"")</f>
        <v/>
      </c>
      <c r="C890" s="84"/>
      <c r="D890" s="84"/>
      <c r="E890" s="76"/>
      <c r="F890" s="76" t="str">
        <f>IF(E890='Tablas AR'!$B$4,1,IF('Análisis de Riesgos'!E890='Tablas AR'!$B$5,2,IF('Análisis de Riesgos'!E890='Tablas AR'!$B$6,3,"")))</f>
        <v/>
      </c>
      <c r="G890" s="76"/>
      <c r="H890" s="76" t="str">
        <f>IF(G890='Tablas AR'!$B$10,1,IF('Análisis de Riesgos'!G890='Tablas AR'!$B$11,2,IF('Análisis de Riesgos'!G890='Tablas AR'!$B$12,3,"")))</f>
        <v/>
      </c>
      <c r="I890" s="76">
        <f t="shared" si="1"/>
        <v>0</v>
      </c>
    </row>
    <row r="891" ht="14.25" customHeight="1">
      <c r="B891" s="84" t="str">
        <f t="array" ref="B891">IFERROR(INDEX(Activos!$B$3:$C$16, MATCH(C891,Activos!$B$3:$B$16),2),"")</f>
        <v/>
      </c>
      <c r="C891" s="84"/>
      <c r="D891" s="84"/>
      <c r="E891" s="76"/>
      <c r="F891" s="76" t="str">
        <f>IF(E891='Tablas AR'!$B$4,1,IF('Análisis de Riesgos'!E891='Tablas AR'!$B$5,2,IF('Análisis de Riesgos'!E891='Tablas AR'!$B$6,3,"")))</f>
        <v/>
      </c>
      <c r="G891" s="76"/>
      <c r="H891" s="76" t="str">
        <f>IF(G891='Tablas AR'!$B$10,1,IF('Análisis de Riesgos'!G891='Tablas AR'!$B$11,2,IF('Análisis de Riesgos'!G891='Tablas AR'!$B$12,3,"")))</f>
        <v/>
      </c>
      <c r="I891" s="76">
        <f t="shared" si="1"/>
        <v>0</v>
      </c>
    </row>
    <row r="892" ht="14.25" customHeight="1">
      <c r="B892" s="84" t="str">
        <f t="array" ref="B892">IFERROR(INDEX(Activos!$B$3:$C$16, MATCH(C892,Activos!$B$3:$B$16),2),"")</f>
        <v/>
      </c>
      <c r="C892" s="84"/>
      <c r="D892" s="84"/>
      <c r="E892" s="76"/>
      <c r="F892" s="76" t="str">
        <f>IF(E892='Tablas AR'!$B$4,1,IF('Análisis de Riesgos'!E892='Tablas AR'!$B$5,2,IF('Análisis de Riesgos'!E892='Tablas AR'!$B$6,3,"")))</f>
        <v/>
      </c>
      <c r="G892" s="76"/>
      <c r="H892" s="76" t="str">
        <f>IF(G892='Tablas AR'!$B$10,1,IF('Análisis de Riesgos'!G892='Tablas AR'!$B$11,2,IF('Análisis de Riesgos'!G892='Tablas AR'!$B$12,3,"")))</f>
        <v/>
      </c>
      <c r="I892" s="76">
        <f t="shared" si="1"/>
        <v>0</v>
      </c>
    </row>
    <row r="893" ht="14.25" customHeight="1">
      <c r="B893" s="84" t="str">
        <f t="array" ref="B893">IFERROR(INDEX(Activos!$B$3:$C$16, MATCH(C893,Activos!$B$3:$B$16),2),"")</f>
        <v/>
      </c>
      <c r="C893" s="84"/>
      <c r="D893" s="84"/>
      <c r="E893" s="76"/>
      <c r="F893" s="76" t="str">
        <f>IF(E893='Tablas AR'!$B$4,1,IF('Análisis de Riesgos'!E893='Tablas AR'!$B$5,2,IF('Análisis de Riesgos'!E893='Tablas AR'!$B$6,3,"")))</f>
        <v/>
      </c>
      <c r="G893" s="76"/>
      <c r="H893" s="76" t="str">
        <f>IF(G893='Tablas AR'!$B$10,1,IF('Análisis de Riesgos'!G893='Tablas AR'!$B$11,2,IF('Análisis de Riesgos'!G893='Tablas AR'!$B$12,3,"")))</f>
        <v/>
      </c>
      <c r="I893" s="76">
        <f t="shared" si="1"/>
        <v>0</v>
      </c>
    </row>
    <row r="894" ht="14.25" customHeight="1">
      <c r="B894" s="84" t="str">
        <f t="array" ref="B894">IFERROR(INDEX(Activos!$B$3:$C$16, MATCH(C894,Activos!$B$3:$B$16),2),"")</f>
        <v/>
      </c>
      <c r="C894" s="84"/>
      <c r="D894" s="84"/>
      <c r="E894" s="76"/>
      <c r="F894" s="76" t="str">
        <f>IF(E894='Tablas AR'!$B$4,1,IF('Análisis de Riesgos'!E894='Tablas AR'!$B$5,2,IF('Análisis de Riesgos'!E894='Tablas AR'!$B$6,3,"")))</f>
        <v/>
      </c>
      <c r="G894" s="76"/>
      <c r="H894" s="76" t="str">
        <f>IF(G894='Tablas AR'!$B$10,1,IF('Análisis de Riesgos'!G894='Tablas AR'!$B$11,2,IF('Análisis de Riesgos'!G894='Tablas AR'!$B$12,3,"")))</f>
        <v/>
      </c>
      <c r="I894" s="76">
        <f t="shared" si="1"/>
        <v>0</v>
      </c>
    </row>
    <row r="895" ht="14.25" customHeight="1">
      <c r="B895" s="84" t="str">
        <f t="array" ref="B895">IFERROR(INDEX(Activos!$B$3:$C$16, MATCH(C895,Activos!$B$3:$B$16),2),"")</f>
        <v/>
      </c>
      <c r="C895" s="84"/>
      <c r="D895" s="84"/>
      <c r="E895" s="76"/>
      <c r="F895" s="76" t="str">
        <f>IF(E895='Tablas AR'!$B$4,1,IF('Análisis de Riesgos'!E895='Tablas AR'!$B$5,2,IF('Análisis de Riesgos'!E895='Tablas AR'!$B$6,3,"")))</f>
        <v/>
      </c>
      <c r="G895" s="76"/>
      <c r="H895" s="76" t="str">
        <f>IF(G895='Tablas AR'!$B$10,1,IF('Análisis de Riesgos'!G895='Tablas AR'!$B$11,2,IF('Análisis de Riesgos'!G895='Tablas AR'!$B$12,3,"")))</f>
        <v/>
      </c>
      <c r="I895" s="76">
        <f t="shared" si="1"/>
        <v>0</v>
      </c>
    </row>
    <row r="896" ht="14.25" customHeight="1">
      <c r="B896" s="84" t="str">
        <f t="array" ref="B896">IFERROR(INDEX(Activos!$B$3:$C$16, MATCH(C896,Activos!$B$3:$B$16),2),"")</f>
        <v/>
      </c>
      <c r="C896" s="84"/>
      <c r="D896" s="84"/>
      <c r="E896" s="76"/>
      <c r="F896" s="76" t="str">
        <f>IF(E896='Tablas AR'!$B$4,1,IF('Análisis de Riesgos'!E896='Tablas AR'!$B$5,2,IF('Análisis de Riesgos'!E896='Tablas AR'!$B$6,3,"")))</f>
        <v/>
      </c>
      <c r="G896" s="76"/>
      <c r="H896" s="76" t="str">
        <f>IF(G896='Tablas AR'!$B$10,1,IF('Análisis de Riesgos'!G896='Tablas AR'!$B$11,2,IF('Análisis de Riesgos'!G896='Tablas AR'!$B$12,3,"")))</f>
        <v/>
      </c>
      <c r="I896" s="76">
        <f t="shared" si="1"/>
        <v>0</v>
      </c>
    </row>
    <row r="897" ht="14.25" customHeight="1">
      <c r="B897" s="84" t="str">
        <f t="array" ref="B897">IFERROR(INDEX(Activos!$B$3:$C$16, MATCH(C897,Activos!$B$3:$B$16),2),"")</f>
        <v/>
      </c>
      <c r="C897" s="84"/>
      <c r="D897" s="84"/>
      <c r="E897" s="76"/>
      <c r="F897" s="76" t="str">
        <f>IF(E897='Tablas AR'!$B$4,1,IF('Análisis de Riesgos'!E897='Tablas AR'!$B$5,2,IF('Análisis de Riesgos'!E897='Tablas AR'!$B$6,3,"")))</f>
        <v/>
      </c>
      <c r="G897" s="76"/>
      <c r="H897" s="76" t="str">
        <f>IF(G897='Tablas AR'!$B$10,1,IF('Análisis de Riesgos'!G897='Tablas AR'!$B$11,2,IF('Análisis de Riesgos'!G897='Tablas AR'!$B$12,3,"")))</f>
        <v/>
      </c>
      <c r="I897" s="76">
        <f t="shared" si="1"/>
        <v>0</v>
      </c>
    </row>
    <row r="898" ht="14.25" customHeight="1">
      <c r="B898" s="84" t="str">
        <f t="array" ref="B898">IFERROR(INDEX(Activos!$B$3:$C$16, MATCH(C898,Activos!$B$3:$B$16),2),"")</f>
        <v/>
      </c>
      <c r="C898" s="84"/>
      <c r="D898" s="84"/>
      <c r="E898" s="76"/>
      <c r="F898" s="76" t="str">
        <f>IF(E898='Tablas AR'!$B$4,1,IF('Análisis de Riesgos'!E898='Tablas AR'!$B$5,2,IF('Análisis de Riesgos'!E898='Tablas AR'!$B$6,3,"")))</f>
        <v/>
      </c>
      <c r="G898" s="76"/>
      <c r="H898" s="76" t="str">
        <f>IF(G898='Tablas AR'!$B$10,1,IF('Análisis de Riesgos'!G898='Tablas AR'!$B$11,2,IF('Análisis de Riesgos'!G898='Tablas AR'!$B$12,3,"")))</f>
        <v/>
      </c>
      <c r="I898" s="76">
        <f t="shared" si="1"/>
        <v>0</v>
      </c>
    </row>
    <row r="899" ht="14.25" customHeight="1">
      <c r="B899" s="84" t="str">
        <f t="array" ref="B899">IFERROR(INDEX(Activos!$B$3:$C$16, MATCH(C899,Activos!$B$3:$B$16),2),"")</f>
        <v/>
      </c>
      <c r="C899" s="84"/>
      <c r="D899" s="84"/>
      <c r="E899" s="76"/>
      <c r="F899" s="76" t="str">
        <f>IF(E899='Tablas AR'!$B$4,1,IF('Análisis de Riesgos'!E899='Tablas AR'!$B$5,2,IF('Análisis de Riesgos'!E899='Tablas AR'!$B$6,3,"")))</f>
        <v/>
      </c>
      <c r="G899" s="76"/>
      <c r="H899" s="76" t="str">
        <f>IF(G899='Tablas AR'!$B$10,1,IF('Análisis de Riesgos'!G899='Tablas AR'!$B$11,2,IF('Análisis de Riesgos'!G899='Tablas AR'!$B$12,3,"")))</f>
        <v/>
      </c>
      <c r="I899" s="76">
        <f t="shared" si="1"/>
        <v>0</v>
      </c>
    </row>
    <row r="900" ht="14.25" customHeight="1">
      <c r="B900" s="84" t="str">
        <f t="array" ref="B900">IFERROR(INDEX(Activos!$B$3:$C$16, MATCH(C900,Activos!$B$3:$B$16),2),"")</f>
        <v/>
      </c>
      <c r="C900" s="84"/>
      <c r="D900" s="84"/>
      <c r="E900" s="76"/>
      <c r="F900" s="76" t="str">
        <f>IF(E900='Tablas AR'!$B$4,1,IF('Análisis de Riesgos'!E900='Tablas AR'!$B$5,2,IF('Análisis de Riesgos'!E900='Tablas AR'!$B$6,3,"")))</f>
        <v/>
      </c>
      <c r="G900" s="76"/>
      <c r="H900" s="76" t="str">
        <f>IF(G900='Tablas AR'!$B$10,1,IF('Análisis de Riesgos'!G900='Tablas AR'!$B$11,2,IF('Análisis de Riesgos'!G900='Tablas AR'!$B$12,3,"")))</f>
        <v/>
      </c>
      <c r="I900" s="76">
        <f t="shared" si="1"/>
        <v>0</v>
      </c>
    </row>
    <row r="901" ht="14.25" customHeight="1">
      <c r="B901" s="84" t="str">
        <f t="array" ref="B901">IFERROR(INDEX(Activos!$B$3:$C$16, MATCH(C901,Activos!$B$3:$B$16),2),"")</f>
        <v/>
      </c>
      <c r="C901" s="84"/>
      <c r="D901" s="84"/>
      <c r="E901" s="76"/>
      <c r="F901" s="76" t="str">
        <f>IF(E901='Tablas AR'!$B$4,1,IF('Análisis de Riesgos'!E901='Tablas AR'!$B$5,2,IF('Análisis de Riesgos'!E901='Tablas AR'!$B$6,3,"")))</f>
        <v/>
      </c>
      <c r="G901" s="76"/>
      <c r="H901" s="76" t="str">
        <f>IF(G901='Tablas AR'!$B$10,1,IF('Análisis de Riesgos'!G901='Tablas AR'!$B$11,2,IF('Análisis de Riesgos'!G901='Tablas AR'!$B$12,3,"")))</f>
        <v/>
      </c>
      <c r="I901" s="76">
        <f t="shared" si="1"/>
        <v>0</v>
      </c>
    </row>
    <row r="902" ht="14.25" customHeight="1">
      <c r="B902" s="84" t="str">
        <f t="array" ref="B902">IFERROR(INDEX(Activos!$B$3:$C$16, MATCH(C902,Activos!$B$3:$B$16),2),"")</f>
        <v/>
      </c>
      <c r="C902" s="84"/>
      <c r="D902" s="84"/>
      <c r="E902" s="76"/>
      <c r="F902" s="76" t="str">
        <f>IF(E902='Tablas AR'!$B$4,1,IF('Análisis de Riesgos'!E902='Tablas AR'!$B$5,2,IF('Análisis de Riesgos'!E902='Tablas AR'!$B$6,3,"")))</f>
        <v/>
      </c>
      <c r="G902" s="76"/>
      <c r="H902" s="76" t="str">
        <f>IF(G902='Tablas AR'!$B$10,1,IF('Análisis de Riesgos'!G902='Tablas AR'!$B$11,2,IF('Análisis de Riesgos'!G902='Tablas AR'!$B$12,3,"")))</f>
        <v/>
      </c>
      <c r="I902" s="76">
        <f t="shared" si="1"/>
        <v>0</v>
      </c>
    </row>
    <row r="903" ht="14.25" customHeight="1">
      <c r="B903" s="84" t="str">
        <f t="array" ref="B903">IFERROR(INDEX(Activos!$B$3:$C$16, MATCH(C903,Activos!$B$3:$B$16),2),"")</f>
        <v/>
      </c>
      <c r="C903" s="84"/>
      <c r="D903" s="84"/>
      <c r="E903" s="76"/>
      <c r="F903" s="76" t="str">
        <f>IF(E903='Tablas AR'!$B$4,1,IF('Análisis de Riesgos'!E903='Tablas AR'!$B$5,2,IF('Análisis de Riesgos'!E903='Tablas AR'!$B$6,3,"")))</f>
        <v/>
      </c>
      <c r="G903" s="76"/>
      <c r="H903" s="76" t="str">
        <f>IF(G903='Tablas AR'!$B$10,1,IF('Análisis de Riesgos'!G903='Tablas AR'!$B$11,2,IF('Análisis de Riesgos'!G903='Tablas AR'!$B$12,3,"")))</f>
        <v/>
      </c>
      <c r="I903" s="76">
        <f t="shared" si="1"/>
        <v>0</v>
      </c>
    </row>
    <row r="904" ht="14.25" customHeight="1">
      <c r="B904" s="84" t="str">
        <f t="array" ref="B904">IFERROR(INDEX(Activos!$B$3:$C$16, MATCH(C904,Activos!$B$3:$B$16),2),"")</f>
        <v/>
      </c>
      <c r="C904" s="84"/>
      <c r="D904" s="84"/>
      <c r="E904" s="76"/>
      <c r="F904" s="76" t="str">
        <f>IF(E904='Tablas AR'!$B$4,1,IF('Análisis de Riesgos'!E904='Tablas AR'!$B$5,2,IF('Análisis de Riesgos'!E904='Tablas AR'!$B$6,3,"")))</f>
        <v/>
      </c>
      <c r="G904" s="76"/>
      <c r="H904" s="76" t="str">
        <f>IF(G904='Tablas AR'!$B$10,1,IF('Análisis de Riesgos'!G904='Tablas AR'!$B$11,2,IF('Análisis de Riesgos'!G904='Tablas AR'!$B$12,3,"")))</f>
        <v/>
      </c>
      <c r="I904" s="76">
        <f t="shared" si="1"/>
        <v>0</v>
      </c>
    </row>
    <row r="905" ht="14.25" customHeight="1">
      <c r="B905" s="84" t="str">
        <f t="array" ref="B905">IFERROR(INDEX(Activos!$B$3:$C$16, MATCH(C905,Activos!$B$3:$B$16),2),"")</f>
        <v/>
      </c>
      <c r="C905" s="84"/>
      <c r="D905" s="84"/>
      <c r="E905" s="76"/>
      <c r="F905" s="76" t="str">
        <f>IF(E905='Tablas AR'!$B$4,1,IF('Análisis de Riesgos'!E905='Tablas AR'!$B$5,2,IF('Análisis de Riesgos'!E905='Tablas AR'!$B$6,3,"")))</f>
        <v/>
      </c>
      <c r="G905" s="76"/>
      <c r="H905" s="76" t="str">
        <f>IF(G905='Tablas AR'!$B$10,1,IF('Análisis de Riesgos'!G905='Tablas AR'!$B$11,2,IF('Análisis de Riesgos'!G905='Tablas AR'!$B$12,3,"")))</f>
        <v/>
      </c>
      <c r="I905" s="76">
        <f t="shared" si="1"/>
        <v>0</v>
      </c>
    </row>
    <row r="906" ht="14.25" customHeight="1">
      <c r="B906" s="84" t="str">
        <f t="array" ref="B906">IFERROR(INDEX(Activos!$B$3:$C$16, MATCH(C906,Activos!$B$3:$B$16),2),"")</f>
        <v/>
      </c>
      <c r="C906" s="84"/>
      <c r="D906" s="84"/>
      <c r="E906" s="76"/>
      <c r="F906" s="76" t="str">
        <f>IF(E906='Tablas AR'!$B$4,1,IF('Análisis de Riesgos'!E906='Tablas AR'!$B$5,2,IF('Análisis de Riesgos'!E906='Tablas AR'!$B$6,3,"")))</f>
        <v/>
      </c>
      <c r="G906" s="76"/>
      <c r="H906" s="76" t="str">
        <f>IF(G906='Tablas AR'!$B$10,1,IF('Análisis de Riesgos'!G906='Tablas AR'!$B$11,2,IF('Análisis de Riesgos'!G906='Tablas AR'!$B$12,3,"")))</f>
        <v/>
      </c>
      <c r="I906" s="76">
        <f t="shared" si="1"/>
        <v>0</v>
      </c>
    </row>
    <row r="907" ht="14.25" customHeight="1">
      <c r="B907" s="84" t="str">
        <f t="array" ref="B907">IFERROR(INDEX(Activos!$B$3:$C$16, MATCH(C907,Activos!$B$3:$B$16),2),"")</f>
        <v/>
      </c>
      <c r="C907" s="84"/>
      <c r="D907" s="84"/>
      <c r="E907" s="76"/>
      <c r="F907" s="76" t="str">
        <f>IF(E907='Tablas AR'!$B$4,1,IF('Análisis de Riesgos'!E907='Tablas AR'!$B$5,2,IF('Análisis de Riesgos'!E907='Tablas AR'!$B$6,3,"")))</f>
        <v/>
      </c>
      <c r="G907" s="76"/>
      <c r="H907" s="76" t="str">
        <f>IF(G907='Tablas AR'!$B$10,1,IF('Análisis de Riesgos'!G907='Tablas AR'!$B$11,2,IF('Análisis de Riesgos'!G907='Tablas AR'!$B$12,3,"")))</f>
        <v/>
      </c>
      <c r="I907" s="76">
        <f t="shared" si="1"/>
        <v>0</v>
      </c>
    </row>
    <row r="908" ht="14.25" customHeight="1">
      <c r="B908" s="84" t="str">
        <f t="array" ref="B908">IFERROR(INDEX(Activos!$B$3:$C$16, MATCH(C908,Activos!$B$3:$B$16),2),"")</f>
        <v/>
      </c>
      <c r="C908" s="84"/>
      <c r="D908" s="84"/>
      <c r="E908" s="76"/>
      <c r="F908" s="76" t="str">
        <f>IF(E908='Tablas AR'!$B$4,1,IF('Análisis de Riesgos'!E908='Tablas AR'!$B$5,2,IF('Análisis de Riesgos'!E908='Tablas AR'!$B$6,3,"")))</f>
        <v/>
      </c>
      <c r="G908" s="76"/>
      <c r="H908" s="76" t="str">
        <f>IF(G908='Tablas AR'!$B$10,1,IF('Análisis de Riesgos'!G908='Tablas AR'!$B$11,2,IF('Análisis de Riesgos'!G908='Tablas AR'!$B$12,3,"")))</f>
        <v/>
      </c>
      <c r="I908" s="76">
        <f t="shared" si="1"/>
        <v>0</v>
      </c>
    </row>
    <row r="909" ht="14.25" customHeight="1">
      <c r="B909" s="84" t="str">
        <f t="array" ref="B909">IFERROR(INDEX(Activos!$B$3:$C$16, MATCH(C909,Activos!$B$3:$B$16),2),"")</f>
        <v/>
      </c>
      <c r="C909" s="84"/>
      <c r="D909" s="84"/>
      <c r="E909" s="76"/>
      <c r="F909" s="76" t="str">
        <f>IF(E909='Tablas AR'!$B$4,1,IF('Análisis de Riesgos'!E909='Tablas AR'!$B$5,2,IF('Análisis de Riesgos'!E909='Tablas AR'!$B$6,3,"")))</f>
        <v/>
      </c>
      <c r="G909" s="76"/>
      <c r="H909" s="76" t="str">
        <f>IF(G909='Tablas AR'!$B$10,1,IF('Análisis de Riesgos'!G909='Tablas AR'!$B$11,2,IF('Análisis de Riesgos'!G909='Tablas AR'!$B$12,3,"")))</f>
        <v/>
      </c>
      <c r="I909" s="76">
        <f t="shared" si="1"/>
        <v>0</v>
      </c>
    </row>
    <row r="910" ht="14.25" customHeight="1">
      <c r="B910" s="84" t="str">
        <f t="array" ref="B910">IFERROR(INDEX(Activos!$B$3:$C$16, MATCH(C910,Activos!$B$3:$B$16),2),"")</f>
        <v/>
      </c>
      <c r="C910" s="84"/>
      <c r="D910" s="84"/>
      <c r="E910" s="76"/>
      <c r="F910" s="76" t="str">
        <f>IF(E910='Tablas AR'!$B$4,1,IF('Análisis de Riesgos'!E910='Tablas AR'!$B$5,2,IF('Análisis de Riesgos'!E910='Tablas AR'!$B$6,3,"")))</f>
        <v/>
      </c>
      <c r="G910" s="76"/>
      <c r="H910" s="76" t="str">
        <f>IF(G910='Tablas AR'!$B$10,1,IF('Análisis de Riesgos'!G910='Tablas AR'!$B$11,2,IF('Análisis de Riesgos'!G910='Tablas AR'!$B$12,3,"")))</f>
        <v/>
      </c>
      <c r="I910" s="76">
        <f t="shared" si="1"/>
        <v>0</v>
      </c>
    </row>
    <row r="911" ht="14.25" customHeight="1">
      <c r="B911" s="84" t="str">
        <f t="array" ref="B911">IFERROR(INDEX(Activos!$B$3:$C$16, MATCH(C911,Activos!$B$3:$B$16),2),"")</f>
        <v/>
      </c>
      <c r="C911" s="84"/>
      <c r="D911" s="84"/>
      <c r="E911" s="76"/>
      <c r="F911" s="76" t="str">
        <f>IF(E911='Tablas AR'!$B$4,1,IF('Análisis de Riesgos'!E911='Tablas AR'!$B$5,2,IF('Análisis de Riesgos'!E911='Tablas AR'!$B$6,3,"")))</f>
        <v/>
      </c>
      <c r="G911" s="76"/>
      <c r="H911" s="76" t="str">
        <f>IF(G911='Tablas AR'!$B$10,1,IF('Análisis de Riesgos'!G911='Tablas AR'!$B$11,2,IF('Análisis de Riesgos'!G911='Tablas AR'!$B$12,3,"")))</f>
        <v/>
      </c>
      <c r="I911" s="76">
        <f t="shared" si="1"/>
        <v>0</v>
      </c>
    </row>
    <row r="912" ht="14.25" customHeight="1">
      <c r="B912" s="84" t="str">
        <f t="array" ref="B912">IFERROR(INDEX(Activos!$B$3:$C$16, MATCH(C912,Activos!$B$3:$B$16),2),"")</f>
        <v/>
      </c>
      <c r="C912" s="84"/>
      <c r="D912" s="84"/>
      <c r="E912" s="76"/>
      <c r="F912" s="76" t="str">
        <f>IF(E912='Tablas AR'!$B$4,1,IF('Análisis de Riesgos'!E912='Tablas AR'!$B$5,2,IF('Análisis de Riesgos'!E912='Tablas AR'!$B$6,3,"")))</f>
        <v/>
      </c>
      <c r="G912" s="76"/>
      <c r="H912" s="76" t="str">
        <f>IF(G912='Tablas AR'!$B$10,1,IF('Análisis de Riesgos'!G912='Tablas AR'!$B$11,2,IF('Análisis de Riesgos'!G912='Tablas AR'!$B$12,3,"")))</f>
        <v/>
      </c>
      <c r="I912" s="76">
        <f t="shared" si="1"/>
        <v>0</v>
      </c>
    </row>
    <row r="913" ht="14.25" customHeight="1">
      <c r="B913" s="84" t="str">
        <f t="array" ref="B913">IFERROR(INDEX(Activos!$B$3:$C$16, MATCH(C913,Activos!$B$3:$B$16),2),"")</f>
        <v/>
      </c>
      <c r="C913" s="84"/>
      <c r="D913" s="84"/>
      <c r="E913" s="76"/>
      <c r="F913" s="76" t="str">
        <f>IF(E913='Tablas AR'!$B$4,1,IF('Análisis de Riesgos'!E913='Tablas AR'!$B$5,2,IF('Análisis de Riesgos'!E913='Tablas AR'!$B$6,3,"")))</f>
        <v/>
      </c>
      <c r="G913" s="76"/>
      <c r="H913" s="76" t="str">
        <f>IF(G913='Tablas AR'!$B$10,1,IF('Análisis de Riesgos'!G913='Tablas AR'!$B$11,2,IF('Análisis de Riesgos'!G913='Tablas AR'!$B$12,3,"")))</f>
        <v/>
      </c>
      <c r="I913" s="76">
        <f t="shared" si="1"/>
        <v>0</v>
      </c>
    </row>
    <row r="914" ht="14.25" customHeight="1">
      <c r="B914" s="84" t="str">
        <f t="array" ref="B914">IFERROR(INDEX(Activos!$B$3:$C$16, MATCH(C914,Activos!$B$3:$B$16),2),"")</f>
        <v/>
      </c>
      <c r="C914" s="84"/>
      <c r="D914" s="84"/>
      <c r="E914" s="76"/>
      <c r="F914" s="76" t="str">
        <f>IF(E914='Tablas AR'!$B$4,1,IF('Análisis de Riesgos'!E914='Tablas AR'!$B$5,2,IF('Análisis de Riesgos'!E914='Tablas AR'!$B$6,3,"")))</f>
        <v/>
      </c>
      <c r="G914" s="76"/>
      <c r="H914" s="76" t="str">
        <f>IF(G914='Tablas AR'!$B$10,1,IF('Análisis de Riesgos'!G914='Tablas AR'!$B$11,2,IF('Análisis de Riesgos'!G914='Tablas AR'!$B$12,3,"")))</f>
        <v/>
      </c>
      <c r="I914" s="76">
        <f t="shared" si="1"/>
        <v>0</v>
      </c>
    </row>
    <row r="915" ht="14.25" customHeight="1">
      <c r="B915" s="84" t="str">
        <f t="array" ref="B915">IFERROR(INDEX(Activos!$B$3:$C$16, MATCH(C915,Activos!$B$3:$B$16),2),"")</f>
        <v/>
      </c>
      <c r="C915" s="84"/>
      <c r="D915" s="84"/>
      <c r="E915" s="76"/>
      <c r="F915" s="76" t="str">
        <f>IF(E915='Tablas AR'!$B$4,1,IF('Análisis de Riesgos'!E915='Tablas AR'!$B$5,2,IF('Análisis de Riesgos'!E915='Tablas AR'!$B$6,3,"")))</f>
        <v/>
      </c>
      <c r="G915" s="76"/>
      <c r="H915" s="76" t="str">
        <f>IF(G915='Tablas AR'!$B$10,1,IF('Análisis de Riesgos'!G915='Tablas AR'!$B$11,2,IF('Análisis de Riesgos'!G915='Tablas AR'!$B$12,3,"")))</f>
        <v/>
      </c>
      <c r="I915" s="76">
        <f t="shared" si="1"/>
        <v>0</v>
      </c>
    </row>
    <row r="916" ht="14.25" customHeight="1">
      <c r="B916" s="84" t="str">
        <f t="array" ref="B916">IFERROR(INDEX(Activos!$B$3:$C$16, MATCH(C916,Activos!$B$3:$B$16),2),"")</f>
        <v/>
      </c>
      <c r="C916" s="84"/>
      <c r="D916" s="84"/>
      <c r="E916" s="76"/>
      <c r="F916" s="76" t="str">
        <f>IF(E916='Tablas AR'!$B$4,1,IF('Análisis de Riesgos'!E916='Tablas AR'!$B$5,2,IF('Análisis de Riesgos'!E916='Tablas AR'!$B$6,3,"")))</f>
        <v/>
      </c>
      <c r="G916" s="76"/>
      <c r="H916" s="76" t="str">
        <f>IF(G916='Tablas AR'!$B$10,1,IF('Análisis de Riesgos'!G916='Tablas AR'!$B$11,2,IF('Análisis de Riesgos'!G916='Tablas AR'!$B$12,3,"")))</f>
        <v/>
      </c>
      <c r="I916" s="76">
        <f t="shared" si="1"/>
        <v>0</v>
      </c>
    </row>
    <row r="917" ht="14.25" customHeight="1">
      <c r="B917" s="84" t="str">
        <f t="array" ref="B917">IFERROR(INDEX(Activos!$B$3:$C$16, MATCH(C917,Activos!$B$3:$B$16),2),"")</f>
        <v/>
      </c>
      <c r="C917" s="84"/>
      <c r="D917" s="84"/>
      <c r="E917" s="76"/>
      <c r="F917" s="76" t="str">
        <f>IF(E917='Tablas AR'!$B$4,1,IF('Análisis de Riesgos'!E917='Tablas AR'!$B$5,2,IF('Análisis de Riesgos'!E917='Tablas AR'!$B$6,3,"")))</f>
        <v/>
      </c>
      <c r="G917" s="76"/>
      <c r="H917" s="76" t="str">
        <f>IF(G917='Tablas AR'!$B$10,1,IF('Análisis de Riesgos'!G917='Tablas AR'!$B$11,2,IF('Análisis de Riesgos'!G917='Tablas AR'!$B$12,3,"")))</f>
        <v/>
      </c>
      <c r="I917" s="76">
        <f t="shared" si="1"/>
        <v>0</v>
      </c>
    </row>
    <row r="918" ht="14.25" customHeight="1">
      <c r="B918" s="84" t="str">
        <f t="array" ref="B918">IFERROR(INDEX(Activos!$B$3:$C$16, MATCH(C918,Activos!$B$3:$B$16),2),"")</f>
        <v/>
      </c>
      <c r="C918" s="84"/>
      <c r="D918" s="84"/>
      <c r="E918" s="76"/>
      <c r="F918" s="76" t="str">
        <f>IF(E918='Tablas AR'!$B$4,1,IF('Análisis de Riesgos'!E918='Tablas AR'!$B$5,2,IF('Análisis de Riesgos'!E918='Tablas AR'!$B$6,3,"")))</f>
        <v/>
      </c>
      <c r="G918" s="76"/>
      <c r="H918" s="76" t="str">
        <f>IF(G918='Tablas AR'!$B$10,1,IF('Análisis de Riesgos'!G918='Tablas AR'!$B$11,2,IF('Análisis de Riesgos'!G918='Tablas AR'!$B$12,3,"")))</f>
        <v/>
      </c>
      <c r="I918" s="76">
        <f t="shared" si="1"/>
        <v>0</v>
      </c>
    </row>
    <row r="919" ht="14.25" customHeight="1">
      <c r="B919" s="84" t="str">
        <f t="array" ref="B919">IFERROR(INDEX(Activos!$B$3:$C$16, MATCH(C919,Activos!$B$3:$B$16),2),"")</f>
        <v/>
      </c>
      <c r="C919" s="84"/>
      <c r="D919" s="84"/>
      <c r="E919" s="76"/>
      <c r="F919" s="76" t="str">
        <f>IF(E919='Tablas AR'!$B$4,1,IF('Análisis de Riesgos'!E919='Tablas AR'!$B$5,2,IF('Análisis de Riesgos'!E919='Tablas AR'!$B$6,3,"")))</f>
        <v/>
      </c>
      <c r="G919" s="76"/>
      <c r="H919" s="76" t="str">
        <f>IF(G919='Tablas AR'!$B$10,1,IF('Análisis de Riesgos'!G919='Tablas AR'!$B$11,2,IF('Análisis de Riesgos'!G919='Tablas AR'!$B$12,3,"")))</f>
        <v/>
      </c>
      <c r="I919" s="76">
        <f t="shared" si="1"/>
        <v>0</v>
      </c>
    </row>
    <row r="920" ht="14.25" customHeight="1">
      <c r="B920" s="84" t="str">
        <f t="array" ref="B920">IFERROR(INDEX(Activos!$B$3:$C$16, MATCH(C920,Activos!$B$3:$B$16),2),"")</f>
        <v/>
      </c>
      <c r="C920" s="84"/>
      <c r="D920" s="84"/>
      <c r="E920" s="76"/>
      <c r="F920" s="76" t="str">
        <f>IF(E920='Tablas AR'!$B$4,1,IF('Análisis de Riesgos'!E920='Tablas AR'!$B$5,2,IF('Análisis de Riesgos'!E920='Tablas AR'!$B$6,3,"")))</f>
        <v/>
      </c>
      <c r="G920" s="76"/>
      <c r="H920" s="76" t="str">
        <f>IF(G920='Tablas AR'!$B$10,1,IF('Análisis de Riesgos'!G920='Tablas AR'!$B$11,2,IF('Análisis de Riesgos'!G920='Tablas AR'!$B$12,3,"")))</f>
        <v/>
      </c>
      <c r="I920" s="76">
        <f t="shared" si="1"/>
        <v>0</v>
      </c>
    </row>
    <row r="921" ht="14.25" customHeight="1">
      <c r="B921" s="84" t="str">
        <f t="array" ref="B921">IFERROR(INDEX(Activos!$B$3:$C$16, MATCH(C921,Activos!$B$3:$B$16),2),"")</f>
        <v/>
      </c>
      <c r="C921" s="84"/>
      <c r="D921" s="84"/>
      <c r="E921" s="76"/>
      <c r="F921" s="76" t="str">
        <f>IF(E921='Tablas AR'!$B$4,1,IF('Análisis de Riesgos'!E921='Tablas AR'!$B$5,2,IF('Análisis de Riesgos'!E921='Tablas AR'!$B$6,3,"")))</f>
        <v/>
      </c>
      <c r="G921" s="76"/>
      <c r="H921" s="76" t="str">
        <f>IF(G921='Tablas AR'!$B$10,1,IF('Análisis de Riesgos'!G921='Tablas AR'!$B$11,2,IF('Análisis de Riesgos'!G921='Tablas AR'!$B$12,3,"")))</f>
        <v/>
      </c>
      <c r="I921" s="76">
        <f t="shared" si="1"/>
        <v>0</v>
      </c>
    </row>
    <row r="922" ht="14.25" customHeight="1">
      <c r="B922" s="84" t="str">
        <f t="array" ref="B922">IFERROR(INDEX(Activos!$B$3:$C$16, MATCH(C922,Activos!$B$3:$B$16),2),"")</f>
        <v/>
      </c>
      <c r="C922" s="84"/>
      <c r="D922" s="84"/>
      <c r="E922" s="76"/>
      <c r="F922" s="76" t="str">
        <f>IF(E922='Tablas AR'!$B$4,1,IF('Análisis de Riesgos'!E922='Tablas AR'!$B$5,2,IF('Análisis de Riesgos'!E922='Tablas AR'!$B$6,3,"")))</f>
        <v/>
      </c>
      <c r="G922" s="76"/>
      <c r="H922" s="76" t="str">
        <f>IF(G922='Tablas AR'!$B$10,1,IF('Análisis de Riesgos'!G922='Tablas AR'!$B$11,2,IF('Análisis de Riesgos'!G922='Tablas AR'!$B$12,3,"")))</f>
        <v/>
      </c>
      <c r="I922" s="76">
        <f t="shared" si="1"/>
        <v>0</v>
      </c>
    </row>
    <row r="923" ht="14.25" customHeight="1">
      <c r="B923" s="84" t="str">
        <f t="array" ref="B923">IFERROR(INDEX(Activos!$B$3:$C$16, MATCH(C923,Activos!$B$3:$B$16),2),"")</f>
        <v/>
      </c>
      <c r="C923" s="84"/>
      <c r="D923" s="84"/>
      <c r="E923" s="76"/>
      <c r="F923" s="76" t="str">
        <f>IF(E923='Tablas AR'!$B$4,1,IF('Análisis de Riesgos'!E923='Tablas AR'!$B$5,2,IF('Análisis de Riesgos'!E923='Tablas AR'!$B$6,3,"")))</f>
        <v/>
      </c>
      <c r="G923" s="76"/>
      <c r="H923" s="76" t="str">
        <f>IF(G923='Tablas AR'!$B$10,1,IF('Análisis de Riesgos'!G923='Tablas AR'!$B$11,2,IF('Análisis de Riesgos'!G923='Tablas AR'!$B$12,3,"")))</f>
        <v/>
      </c>
      <c r="I923" s="76">
        <f t="shared" si="1"/>
        <v>0</v>
      </c>
    </row>
    <row r="924" ht="14.25" customHeight="1">
      <c r="B924" s="84" t="str">
        <f t="array" ref="B924">IFERROR(INDEX(Activos!$B$3:$C$16, MATCH(C924,Activos!$B$3:$B$16),2),"")</f>
        <v/>
      </c>
      <c r="C924" s="84"/>
      <c r="D924" s="84"/>
      <c r="E924" s="76"/>
      <c r="F924" s="76" t="str">
        <f>IF(E924='Tablas AR'!$B$4,1,IF('Análisis de Riesgos'!E924='Tablas AR'!$B$5,2,IF('Análisis de Riesgos'!E924='Tablas AR'!$B$6,3,"")))</f>
        <v/>
      </c>
      <c r="G924" s="76"/>
      <c r="H924" s="76" t="str">
        <f>IF(G924='Tablas AR'!$B$10,1,IF('Análisis de Riesgos'!G924='Tablas AR'!$B$11,2,IF('Análisis de Riesgos'!G924='Tablas AR'!$B$12,3,"")))</f>
        <v/>
      </c>
      <c r="I924" s="76">
        <f t="shared" si="1"/>
        <v>0</v>
      </c>
    </row>
    <row r="925" ht="14.25" customHeight="1">
      <c r="B925" s="84" t="str">
        <f t="array" ref="B925">IFERROR(INDEX(Activos!$B$3:$C$16, MATCH(C925,Activos!$B$3:$B$16),2),"")</f>
        <v/>
      </c>
      <c r="C925" s="84"/>
      <c r="D925" s="84"/>
      <c r="E925" s="76"/>
      <c r="F925" s="76" t="str">
        <f>IF(E925='Tablas AR'!$B$4,1,IF('Análisis de Riesgos'!E925='Tablas AR'!$B$5,2,IF('Análisis de Riesgos'!E925='Tablas AR'!$B$6,3,"")))</f>
        <v/>
      </c>
      <c r="G925" s="76"/>
      <c r="H925" s="76" t="str">
        <f>IF(G925='Tablas AR'!$B$10,1,IF('Análisis de Riesgos'!G925='Tablas AR'!$B$11,2,IF('Análisis de Riesgos'!G925='Tablas AR'!$B$12,3,"")))</f>
        <v/>
      </c>
      <c r="I925" s="76">
        <f t="shared" si="1"/>
        <v>0</v>
      </c>
    </row>
    <row r="926" ht="14.25" customHeight="1">
      <c r="B926" s="84" t="str">
        <f t="array" ref="B926">IFERROR(INDEX(Activos!$B$3:$C$16, MATCH(C926,Activos!$B$3:$B$16),2),"")</f>
        <v/>
      </c>
      <c r="C926" s="84"/>
      <c r="D926" s="84"/>
      <c r="E926" s="76"/>
      <c r="F926" s="76" t="str">
        <f>IF(E926='Tablas AR'!$B$4,1,IF('Análisis de Riesgos'!E926='Tablas AR'!$B$5,2,IF('Análisis de Riesgos'!E926='Tablas AR'!$B$6,3,"")))</f>
        <v/>
      </c>
      <c r="G926" s="76"/>
      <c r="H926" s="76" t="str">
        <f>IF(G926='Tablas AR'!$B$10,1,IF('Análisis de Riesgos'!G926='Tablas AR'!$B$11,2,IF('Análisis de Riesgos'!G926='Tablas AR'!$B$12,3,"")))</f>
        <v/>
      </c>
      <c r="I926" s="76">
        <f t="shared" si="1"/>
        <v>0</v>
      </c>
    </row>
    <row r="927" ht="14.25" customHeight="1">
      <c r="B927" s="84" t="str">
        <f t="array" ref="B927">IFERROR(INDEX(Activos!$B$3:$C$16, MATCH(C927,Activos!$B$3:$B$16),2),"")</f>
        <v/>
      </c>
      <c r="C927" s="84"/>
      <c r="D927" s="84"/>
      <c r="E927" s="76"/>
      <c r="F927" s="76" t="str">
        <f>IF(E927='Tablas AR'!$B$4,1,IF('Análisis de Riesgos'!E927='Tablas AR'!$B$5,2,IF('Análisis de Riesgos'!E927='Tablas AR'!$B$6,3,"")))</f>
        <v/>
      </c>
      <c r="G927" s="76"/>
      <c r="H927" s="76" t="str">
        <f>IF(G927='Tablas AR'!$B$10,1,IF('Análisis de Riesgos'!G927='Tablas AR'!$B$11,2,IF('Análisis de Riesgos'!G927='Tablas AR'!$B$12,3,"")))</f>
        <v/>
      </c>
      <c r="I927" s="76">
        <f t="shared" si="1"/>
        <v>0</v>
      </c>
    </row>
    <row r="928" ht="14.25" customHeight="1">
      <c r="B928" s="84" t="str">
        <f t="array" ref="B928">IFERROR(INDEX(Activos!$B$3:$C$16, MATCH(C928,Activos!$B$3:$B$16),2),"")</f>
        <v/>
      </c>
      <c r="C928" s="84"/>
      <c r="D928" s="84"/>
      <c r="E928" s="76"/>
      <c r="F928" s="76" t="str">
        <f>IF(E928='Tablas AR'!$B$4,1,IF('Análisis de Riesgos'!E928='Tablas AR'!$B$5,2,IF('Análisis de Riesgos'!E928='Tablas AR'!$B$6,3,"")))</f>
        <v/>
      </c>
      <c r="G928" s="76"/>
      <c r="H928" s="76" t="str">
        <f>IF(G928='Tablas AR'!$B$10,1,IF('Análisis de Riesgos'!G928='Tablas AR'!$B$11,2,IF('Análisis de Riesgos'!G928='Tablas AR'!$B$12,3,"")))</f>
        <v/>
      </c>
      <c r="I928" s="76">
        <f t="shared" si="1"/>
        <v>0</v>
      </c>
    </row>
    <row r="929" ht="14.25" customHeight="1">
      <c r="B929" s="84" t="str">
        <f t="array" ref="B929">IFERROR(INDEX(Activos!$B$3:$C$16, MATCH(C929,Activos!$B$3:$B$16),2),"")</f>
        <v/>
      </c>
      <c r="C929" s="84"/>
      <c r="D929" s="84"/>
      <c r="E929" s="76"/>
      <c r="F929" s="76" t="str">
        <f>IF(E929='Tablas AR'!$B$4,1,IF('Análisis de Riesgos'!E929='Tablas AR'!$B$5,2,IF('Análisis de Riesgos'!E929='Tablas AR'!$B$6,3,"")))</f>
        <v/>
      </c>
      <c r="G929" s="76"/>
      <c r="H929" s="76" t="str">
        <f>IF(G929='Tablas AR'!$B$10,1,IF('Análisis de Riesgos'!G929='Tablas AR'!$B$11,2,IF('Análisis de Riesgos'!G929='Tablas AR'!$B$12,3,"")))</f>
        <v/>
      </c>
      <c r="I929" s="76">
        <f t="shared" si="1"/>
        <v>0</v>
      </c>
    </row>
    <row r="930" ht="14.25" customHeight="1">
      <c r="B930" s="84" t="str">
        <f t="array" ref="B930">IFERROR(INDEX(Activos!$B$3:$C$16, MATCH(C930,Activos!$B$3:$B$16),2),"")</f>
        <v/>
      </c>
      <c r="C930" s="84"/>
      <c r="D930" s="84"/>
      <c r="E930" s="76"/>
      <c r="G930" s="76"/>
      <c r="H930" s="76" t="str">
        <f>IF(G930='Tablas AR'!$B$10,1,IF('Análisis de Riesgos'!G930='Tablas AR'!$B$11,2,IF('Análisis de Riesgos'!G930='Tablas AR'!$B$12,3,"")))</f>
        <v/>
      </c>
      <c r="I930" s="76">
        <f t="shared" si="1"/>
        <v>0</v>
      </c>
    </row>
    <row r="931" ht="14.25" customHeight="1">
      <c r="B931" s="84" t="str">
        <f t="array" ref="B931">IFERROR(INDEX(Activos!$B$3:$C$16, MATCH(C931,Activos!$B$3:$B$16),2),"")</f>
        <v/>
      </c>
      <c r="C931" s="84"/>
      <c r="D931" s="84"/>
      <c r="E931" s="76"/>
      <c r="G931" s="76"/>
      <c r="H931" s="76" t="str">
        <f>IF(G931='Tablas AR'!$B$10,1,IF('Análisis de Riesgos'!G931='Tablas AR'!$B$11,2,IF('Análisis de Riesgos'!G931='Tablas AR'!$B$12,3,"")))</f>
        <v/>
      </c>
      <c r="I931" s="76">
        <f t="shared" si="1"/>
        <v>0</v>
      </c>
    </row>
    <row r="932" ht="14.25" customHeight="1">
      <c r="B932" s="84" t="str">
        <f t="array" ref="B932">IFERROR(INDEX(Activos!$B$3:$C$16, MATCH(C932,Activos!$B$3:$B$16),2),"")</f>
        <v/>
      </c>
      <c r="C932" s="84"/>
      <c r="D932" s="84"/>
      <c r="E932" s="76"/>
      <c r="G932" s="76"/>
      <c r="I932" s="76"/>
    </row>
    <row r="933" ht="14.25" customHeight="1">
      <c r="B933" s="84" t="str">
        <f t="array" ref="B933">IFERROR(INDEX(Activos!$B$3:$C$16, MATCH(C933,Activos!$B$3:$B$16),2),"")</f>
        <v/>
      </c>
      <c r="C933" s="84"/>
      <c r="D933" s="84"/>
      <c r="E933" s="76"/>
      <c r="G933" s="76"/>
      <c r="I933" s="76"/>
    </row>
    <row r="934" ht="14.25" customHeight="1">
      <c r="B934" s="76"/>
      <c r="C934" s="76"/>
      <c r="D934" s="76"/>
    </row>
    <row r="935" ht="14.25" customHeight="1">
      <c r="B935" s="76"/>
      <c r="C935" s="76"/>
      <c r="D935" s="76"/>
    </row>
    <row r="936" ht="14.25" customHeight="1">
      <c r="B936" s="76"/>
      <c r="C936" s="76"/>
      <c r="D936" s="76"/>
    </row>
    <row r="937" ht="14.25" customHeight="1">
      <c r="B937" s="76"/>
      <c r="C937" s="76"/>
      <c r="D937" s="76"/>
    </row>
    <row r="938" ht="14.25" customHeight="1">
      <c r="B938" s="76"/>
      <c r="C938" s="76"/>
      <c r="D938" s="76"/>
    </row>
    <row r="939" ht="14.25" customHeight="1">
      <c r="B939" s="76"/>
      <c r="C939" s="76"/>
      <c r="D939" s="76"/>
    </row>
    <row r="940" ht="14.25" customHeight="1">
      <c r="B940" s="76"/>
      <c r="C940" s="76"/>
      <c r="D940" s="76"/>
    </row>
    <row r="941" ht="14.25" customHeight="1">
      <c r="B941" s="76"/>
      <c r="C941" s="76"/>
      <c r="D941" s="76"/>
    </row>
    <row r="942" ht="14.25" customHeight="1">
      <c r="B942" s="76"/>
      <c r="C942" s="76"/>
      <c r="D942" s="76"/>
    </row>
    <row r="943" ht="14.25" customHeight="1">
      <c r="B943" s="76"/>
      <c r="C943" s="76"/>
      <c r="D943" s="76"/>
    </row>
    <row r="944" ht="14.25" customHeight="1">
      <c r="B944" s="76"/>
      <c r="C944" s="76"/>
      <c r="D944" s="76"/>
    </row>
    <row r="945" ht="14.25" customHeight="1">
      <c r="B945" s="76"/>
      <c r="C945" s="76"/>
      <c r="D945" s="76"/>
    </row>
    <row r="946" ht="14.25" customHeight="1">
      <c r="B946" s="76"/>
      <c r="C946" s="76"/>
      <c r="D946" s="76"/>
    </row>
    <row r="947" ht="14.25" customHeight="1">
      <c r="B947" s="76"/>
      <c r="C947" s="76"/>
      <c r="D947" s="76"/>
    </row>
    <row r="948" ht="14.25" customHeight="1">
      <c r="B948" s="76"/>
      <c r="C948" s="76"/>
      <c r="D948" s="76"/>
    </row>
    <row r="949" ht="14.25" customHeight="1">
      <c r="B949" s="76"/>
      <c r="C949" s="76"/>
      <c r="D949" s="76"/>
    </row>
    <row r="950" ht="14.25" customHeight="1">
      <c r="B950" s="76"/>
      <c r="C950" s="76"/>
      <c r="D950" s="76"/>
    </row>
    <row r="951" ht="14.25" customHeight="1">
      <c r="B951" s="76"/>
      <c r="C951" s="76"/>
      <c r="D951" s="76"/>
    </row>
    <row r="952" ht="14.25" customHeight="1">
      <c r="B952" s="76"/>
      <c r="C952" s="76"/>
      <c r="D952" s="76"/>
    </row>
    <row r="953" ht="14.25" customHeight="1">
      <c r="B953" s="76"/>
      <c r="C953" s="76"/>
      <c r="D953" s="76"/>
    </row>
    <row r="954" ht="14.25" customHeight="1">
      <c r="B954" s="76"/>
      <c r="C954" s="76"/>
      <c r="D954" s="76"/>
    </row>
    <row r="955" ht="14.25" customHeight="1">
      <c r="B955" s="76"/>
      <c r="C955" s="76"/>
      <c r="D955" s="76"/>
    </row>
    <row r="956" ht="14.25" customHeight="1">
      <c r="B956" s="76"/>
      <c r="C956" s="76"/>
      <c r="D956" s="76"/>
    </row>
    <row r="957" ht="14.25" customHeight="1">
      <c r="B957" s="76"/>
      <c r="C957" s="76"/>
      <c r="D957" s="76"/>
    </row>
    <row r="958" ht="14.25" customHeight="1">
      <c r="B958" s="76"/>
      <c r="C958" s="76"/>
      <c r="D958" s="76"/>
    </row>
    <row r="959" ht="14.25" customHeight="1">
      <c r="B959" s="76"/>
      <c r="C959" s="76"/>
      <c r="D959" s="76"/>
    </row>
    <row r="960" ht="14.25" customHeight="1">
      <c r="B960" s="76"/>
      <c r="C960" s="76"/>
      <c r="D960" s="76"/>
    </row>
    <row r="961" ht="14.25" customHeight="1">
      <c r="B961" s="76"/>
      <c r="C961" s="76"/>
      <c r="D961" s="76"/>
    </row>
    <row r="962" ht="14.25" customHeight="1">
      <c r="B962" s="76"/>
      <c r="C962" s="76"/>
      <c r="D962" s="76"/>
    </row>
    <row r="963" ht="14.25" customHeight="1">
      <c r="B963" s="76"/>
      <c r="C963" s="76"/>
      <c r="D963" s="76"/>
    </row>
    <row r="964" ht="14.25" customHeight="1">
      <c r="B964" s="76"/>
      <c r="C964" s="76"/>
      <c r="D964" s="76"/>
    </row>
    <row r="965" ht="14.25" customHeight="1">
      <c r="B965" s="76"/>
      <c r="C965" s="76"/>
      <c r="D965" s="76"/>
    </row>
    <row r="966" ht="14.25" customHeight="1">
      <c r="B966" s="76"/>
      <c r="C966" s="76"/>
      <c r="D966" s="76"/>
    </row>
    <row r="967" ht="14.25" customHeight="1">
      <c r="B967" s="76"/>
      <c r="C967" s="76"/>
      <c r="D967" s="76"/>
    </row>
    <row r="968" ht="14.25" customHeight="1">
      <c r="B968" s="76"/>
      <c r="C968" s="76"/>
      <c r="D968" s="76"/>
    </row>
    <row r="969" ht="14.25" customHeight="1">
      <c r="B969" s="76"/>
      <c r="C969" s="76"/>
      <c r="D969" s="76"/>
    </row>
    <row r="970" ht="14.25" customHeight="1">
      <c r="B970" s="76"/>
      <c r="C970" s="76"/>
      <c r="D970" s="76"/>
    </row>
    <row r="971" ht="14.25" customHeight="1">
      <c r="B971" s="76"/>
      <c r="C971" s="76"/>
      <c r="D971" s="76"/>
    </row>
    <row r="972" ht="14.25" customHeight="1">
      <c r="B972" s="76"/>
      <c r="C972" s="76"/>
      <c r="D972" s="76"/>
    </row>
    <row r="973" ht="14.25" customHeight="1">
      <c r="B973" s="76"/>
      <c r="C973" s="76"/>
      <c r="D973" s="76"/>
    </row>
    <row r="974" ht="14.25" customHeight="1">
      <c r="B974" s="76"/>
      <c r="C974" s="76"/>
      <c r="D974" s="76"/>
    </row>
    <row r="975" ht="14.25" customHeight="1">
      <c r="B975" s="76"/>
      <c r="C975" s="76"/>
      <c r="D975" s="76"/>
    </row>
    <row r="976" ht="14.25" customHeight="1">
      <c r="B976" s="76"/>
      <c r="C976" s="76"/>
      <c r="D976" s="76"/>
    </row>
    <row r="977" ht="14.25" customHeight="1">
      <c r="B977" s="76"/>
      <c r="C977" s="76"/>
      <c r="D977" s="76"/>
    </row>
    <row r="978" ht="14.25" customHeight="1">
      <c r="B978" s="76"/>
      <c r="C978" s="76"/>
      <c r="D978" s="76"/>
    </row>
    <row r="979" ht="14.25" customHeight="1">
      <c r="B979" s="76"/>
      <c r="C979" s="76"/>
      <c r="D979" s="76"/>
    </row>
    <row r="980" ht="14.25" customHeight="1">
      <c r="B980" s="76"/>
      <c r="C980" s="76"/>
      <c r="D980" s="76"/>
    </row>
    <row r="981" ht="14.25" customHeight="1">
      <c r="B981" s="76"/>
      <c r="C981" s="76"/>
      <c r="D981" s="76"/>
    </row>
    <row r="982" ht="14.25" customHeight="1">
      <c r="B982" s="76"/>
      <c r="C982" s="76"/>
      <c r="D982" s="76"/>
    </row>
    <row r="983" ht="14.25" customHeight="1">
      <c r="B983" s="76"/>
      <c r="C983" s="76"/>
      <c r="D983" s="76"/>
    </row>
    <row r="984" ht="14.25" customHeight="1">
      <c r="B984" s="76"/>
      <c r="C984" s="76"/>
      <c r="D984" s="76"/>
    </row>
    <row r="985" ht="14.25" customHeight="1">
      <c r="B985" s="76"/>
      <c r="C985" s="76"/>
      <c r="D985" s="76"/>
    </row>
    <row r="986" ht="14.25" customHeight="1">
      <c r="B986" s="76"/>
      <c r="C986" s="76"/>
      <c r="D986" s="76"/>
    </row>
    <row r="987" ht="14.25" customHeight="1">
      <c r="B987" s="76"/>
      <c r="C987" s="76"/>
      <c r="D987" s="76"/>
    </row>
    <row r="988" ht="14.25" customHeight="1">
      <c r="B988" s="76"/>
      <c r="C988" s="76"/>
      <c r="D988" s="76"/>
    </row>
    <row r="989" ht="14.25" customHeight="1">
      <c r="B989" s="76"/>
      <c r="C989" s="76"/>
      <c r="D989" s="76"/>
    </row>
    <row r="990" ht="14.25" customHeight="1">
      <c r="B990" s="76"/>
      <c r="C990" s="76"/>
      <c r="D990" s="76"/>
    </row>
    <row r="991" ht="14.25" customHeight="1">
      <c r="B991" s="76"/>
      <c r="C991" s="76"/>
      <c r="D991" s="76"/>
    </row>
    <row r="992" ht="14.25" customHeight="1">
      <c r="B992" s="76"/>
      <c r="C992" s="76"/>
      <c r="D992" s="76"/>
    </row>
    <row r="993" ht="14.25" customHeight="1">
      <c r="B993" s="76"/>
      <c r="C993" s="76"/>
      <c r="D993" s="76"/>
    </row>
    <row r="994" ht="14.25" customHeight="1">
      <c r="B994" s="76"/>
      <c r="C994" s="76"/>
      <c r="D994" s="76"/>
    </row>
    <row r="995" ht="14.25" customHeight="1">
      <c r="B995" s="76"/>
      <c r="C995" s="76"/>
      <c r="D995" s="76"/>
    </row>
    <row r="996" ht="14.25" customHeight="1">
      <c r="B996" s="76"/>
      <c r="C996" s="76"/>
      <c r="D996" s="76"/>
    </row>
    <row r="997" ht="14.25" customHeight="1">
      <c r="B997" s="76"/>
      <c r="C997" s="76"/>
      <c r="D997" s="76"/>
    </row>
    <row r="998" ht="14.25" customHeight="1">
      <c r="B998" s="76"/>
      <c r="C998" s="76"/>
      <c r="D998" s="76"/>
    </row>
    <row r="999" ht="14.25" customHeight="1">
      <c r="B999" s="76"/>
      <c r="C999" s="76"/>
      <c r="D999" s="76"/>
    </row>
    <row r="1000" ht="14.25" customHeight="1">
      <c r="B1000" s="76"/>
      <c r="C1000" s="76"/>
      <c r="D1000" s="76"/>
    </row>
    <row r="1001" ht="14.25" customHeight="1">
      <c r="B1001" s="76"/>
      <c r="C1001" s="76"/>
      <c r="D1001" s="76"/>
    </row>
    <row r="1002" ht="14.25" customHeight="1">
      <c r="B1002" s="76"/>
      <c r="C1002" s="76"/>
      <c r="D1002" s="76"/>
    </row>
    <row r="1003" ht="14.25" customHeight="1">
      <c r="B1003" s="76"/>
      <c r="C1003" s="76"/>
      <c r="D1003" s="76"/>
    </row>
    <row r="1004" ht="14.25" customHeight="1">
      <c r="B1004" s="76"/>
      <c r="C1004" s="76"/>
      <c r="D1004" s="76"/>
    </row>
    <row r="1005" ht="14.25" customHeight="1">
      <c r="B1005" s="76"/>
      <c r="C1005" s="76"/>
      <c r="D1005" s="76"/>
    </row>
    <row r="1006" ht="14.25" customHeight="1">
      <c r="B1006" s="76"/>
      <c r="C1006" s="76"/>
      <c r="D1006" s="76"/>
    </row>
    <row r="1007" ht="14.25" customHeight="1">
      <c r="B1007" s="76"/>
      <c r="C1007" s="76"/>
      <c r="D1007" s="76"/>
    </row>
    <row r="1008" ht="14.25" customHeight="1">
      <c r="B1008" s="76"/>
      <c r="C1008" s="76"/>
      <c r="D1008" s="76"/>
    </row>
    <row r="1009" ht="14.25" customHeight="1">
      <c r="B1009" s="76"/>
      <c r="C1009" s="76"/>
      <c r="D1009" s="76"/>
    </row>
    <row r="1010" ht="14.25" customHeight="1">
      <c r="B1010" s="76"/>
      <c r="C1010" s="76"/>
      <c r="D1010" s="76"/>
    </row>
    <row r="1011" ht="14.25" customHeight="1">
      <c r="B1011" s="76"/>
      <c r="C1011" s="76"/>
      <c r="D1011" s="76"/>
    </row>
    <row r="1012" ht="14.25" customHeight="1">
      <c r="B1012" s="76"/>
      <c r="C1012" s="76"/>
      <c r="D1012" s="76"/>
    </row>
    <row r="1013" ht="14.25" customHeight="1">
      <c r="B1013" s="76"/>
      <c r="C1013" s="76"/>
      <c r="D1013" s="76"/>
    </row>
    <row r="1014" ht="14.25" customHeight="1">
      <c r="B1014" s="76"/>
      <c r="C1014" s="76"/>
      <c r="D1014" s="76"/>
    </row>
    <row r="1015" ht="14.25" customHeight="1">
      <c r="B1015" s="76"/>
      <c r="C1015" s="76"/>
      <c r="D1015" s="76"/>
    </row>
    <row r="1016" ht="14.25" customHeight="1">
      <c r="B1016" s="76"/>
      <c r="C1016" s="76"/>
      <c r="D1016" s="76"/>
    </row>
    <row r="1017" ht="14.25" customHeight="1">
      <c r="B1017" s="76"/>
      <c r="C1017" s="76"/>
      <c r="D1017" s="76"/>
    </row>
    <row r="1018" ht="14.25" customHeight="1">
      <c r="B1018" s="76"/>
      <c r="C1018" s="76"/>
      <c r="D1018" s="76"/>
    </row>
    <row r="1019" ht="14.25" customHeight="1">
      <c r="B1019" s="76"/>
      <c r="C1019" s="76"/>
      <c r="D1019" s="76"/>
    </row>
    <row r="1020" ht="14.25" customHeight="1">
      <c r="B1020" s="76"/>
      <c r="C1020" s="76"/>
      <c r="D1020" s="76"/>
    </row>
    <row r="1021" ht="14.25" customHeight="1">
      <c r="B1021" s="76"/>
      <c r="C1021" s="76"/>
      <c r="D1021" s="76"/>
    </row>
    <row r="1022" ht="14.25" customHeight="1">
      <c r="B1022" s="76"/>
      <c r="C1022" s="76"/>
      <c r="D1022" s="76"/>
    </row>
    <row r="1023" ht="14.25" customHeight="1">
      <c r="B1023" s="76"/>
      <c r="C1023" s="76"/>
      <c r="D1023" s="76"/>
    </row>
    <row r="1024" ht="14.25" customHeight="1">
      <c r="B1024" s="76"/>
      <c r="C1024" s="76"/>
      <c r="D1024" s="76"/>
    </row>
    <row r="1025" ht="14.25" customHeight="1">
      <c r="B1025" s="76"/>
      <c r="C1025" s="76"/>
      <c r="D1025" s="76"/>
    </row>
    <row r="1026" ht="14.25" customHeight="1">
      <c r="B1026" s="76"/>
      <c r="C1026" s="76"/>
      <c r="D1026" s="76"/>
    </row>
    <row r="1027" ht="14.25" customHeight="1">
      <c r="B1027" s="76"/>
      <c r="C1027" s="76"/>
      <c r="D1027" s="76"/>
    </row>
    <row r="1028" ht="14.25" customHeight="1">
      <c r="B1028" s="76"/>
      <c r="C1028" s="76"/>
      <c r="D1028" s="76"/>
    </row>
    <row r="1029" ht="14.25" customHeight="1">
      <c r="B1029" s="76"/>
      <c r="C1029" s="76"/>
      <c r="D1029" s="76"/>
    </row>
    <row r="1030" ht="14.25" customHeight="1">
      <c r="B1030" s="76"/>
      <c r="C1030" s="76"/>
      <c r="D1030" s="76"/>
    </row>
    <row r="1031" ht="14.25" customHeight="1">
      <c r="B1031" s="76"/>
      <c r="C1031" s="76"/>
      <c r="D1031" s="76"/>
    </row>
    <row r="1032" ht="14.25" customHeight="1">
      <c r="B1032" s="76"/>
      <c r="C1032" s="76"/>
      <c r="D1032" s="76"/>
    </row>
    <row r="1033" ht="14.25" customHeight="1">
      <c r="B1033" s="76"/>
      <c r="C1033" s="76"/>
      <c r="D1033" s="76"/>
    </row>
    <row r="1034" ht="14.25" customHeight="1">
      <c r="B1034" s="76"/>
      <c r="C1034" s="76"/>
      <c r="D1034" s="76"/>
    </row>
    <row r="1035" ht="14.25" customHeight="1">
      <c r="B1035" s="76"/>
      <c r="C1035" s="76"/>
      <c r="D1035" s="76"/>
    </row>
    <row r="1036" ht="14.25" customHeight="1">
      <c r="B1036" s="76"/>
      <c r="C1036" s="76"/>
      <c r="D1036" s="76"/>
    </row>
    <row r="1037" ht="14.25" customHeight="1">
      <c r="B1037" s="76"/>
      <c r="C1037" s="76"/>
      <c r="D1037" s="76"/>
    </row>
    <row r="1038" ht="14.25" customHeight="1">
      <c r="B1038" s="76"/>
      <c r="C1038" s="76"/>
      <c r="D1038" s="76"/>
    </row>
    <row r="1039" ht="14.25" customHeight="1">
      <c r="B1039" s="76"/>
      <c r="C1039" s="76"/>
      <c r="D1039" s="76"/>
    </row>
    <row r="1040" ht="14.25" customHeight="1">
      <c r="B1040" s="76"/>
      <c r="C1040" s="76"/>
      <c r="D1040" s="76"/>
    </row>
    <row r="1041" ht="14.25" customHeight="1">
      <c r="B1041" s="76"/>
      <c r="C1041" s="76"/>
      <c r="D1041" s="76"/>
    </row>
    <row r="1042" ht="14.25" customHeight="1">
      <c r="B1042" s="76"/>
      <c r="C1042" s="76"/>
      <c r="D1042" s="76"/>
    </row>
    <row r="1043" ht="14.25" customHeight="1">
      <c r="B1043" s="76"/>
      <c r="C1043" s="76"/>
      <c r="D1043" s="76"/>
    </row>
    <row r="1044" ht="14.25" customHeight="1">
      <c r="B1044" s="76"/>
      <c r="C1044" s="76"/>
      <c r="D1044" s="76"/>
    </row>
    <row r="1045" ht="14.25" customHeight="1">
      <c r="B1045" s="76"/>
      <c r="C1045" s="76"/>
      <c r="D1045" s="76"/>
    </row>
    <row r="1046" ht="14.25" customHeight="1">
      <c r="B1046" s="76"/>
      <c r="C1046" s="76"/>
      <c r="D1046" s="76"/>
    </row>
    <row r="1047" ht="14.25" customHeight="1">
      <c r="B1047" s="76"/>
      <c r="C1047" s="76"/>
      <c r="D1047" s="76"/>
    </row>
    <row r="1048" ht="14.25" customHeight="1">
      <c r="B1048" s="76"/>
      <c r="C1048" s="76"/>
      <c r="D1048" s="76"/>
    </row>
    <row r="1049" ht="14.25" customHeight="1">
      <c r="B1049" s="76"/>
      <c r="C1049" s="76"/>
      <c r="D1049" s="76"/>
    </row>
    <row r="1050" ht="14.25" customHeight="1">
      <c r="B1050" s="76"/>
      <c r="C1050" s="76"/>
      <c r="D1050" s="76"/>
    </row>
    <row r="1051" ht="14.25" customHeight="1">
      <c r="B1051" s="76"/>
      <c r="C1051" s="76"/>
      <c r="D1051" s="76"/>
    </row>
    <row r="1052" ht="14.25" customHeight="1">
      <c r="B1052" s="76"/>
      <c r="C1052" s="76"/>
      <c r="D1052" s="76"/>
    </row>
    <row r="1053" ht="14.25" customHeight="1">
      <c r="B1053" s="76"/>
      <c r="C1053" s="76"/>
      <c r="D1053" s="76"/>
    </row>
    <row r="1054" ht="14.25" customHeight="1">
      <c r="B1054" s="76"/>
      <c r="C1054" s="76"/>
      <c r="D1054" s="76"/>
    </row>
    <row r="1055" ht="14.25" customHeight="1">
      <c r="B1055" s="76"/>
      <c r="C1055" s="76"/>
      <c r="D1055" s="76"/>
    </row>
    <row r="1056" ht="14.25" customHeight="1">
      <c r="B1056" s="76"/>
      <c r="C1056" s="76"/>
      <c r="D1056" s="76"/>
    </row>
    <row r="1057" ht="14.25" customHeight="1">
      <c r="B1057" s="76"/>
      <c r="C1057" s="76"/>
      <c r="D1057" s="76"/>
    </row>
    <row r="1058" ht="14.25" customHeight="1">
      <c r="B1058" s="76"/>
      <c r="C1058" s="76"/>
      <c r="D1058" s="76"/>
    </row>
    <row r="1059" ht="14.25" customHeight="1">
      <c r="B1059" s="76"/>
      <c r="C1059" s="76"/>
      <c r="D1059" s="76"/>
    </row>
    <row r="1060" ht="14.25" customHeight="1">
      <c r="B1060" s="76"/>
      <c r="C1060" s="76"/>
      <c r="D1060" s="76"/>
    </row>
    <row r="1061" ht="14.25" customHeight="1">
      <c r="B1061" s="76"/>
      <c r="C1061" s="76"/>
      <c r="D1061" s="76"/>
    </row>
    <row r="1062" ht="14.25" customHeight="1">
      <c r="B1062" s="76"/>
      <c r="C1062" s="76"/>
      <c r="D1062" s="76"/>
    </row>
    <row r="1063" ht="14.25" customHeight="1">
      <c r="B1063" s="76"/>
      <c r="C1063" s="76"/>
      <c r="D1063" s="76"/>
    </row>
    <row r="1064" ht="14.25" customHeight="1">
      <c r="B1064" s="76"/>
      <c r="C1064" s="76"/>
      <c r="D1064" s="76"/>
    </row>
    <row r="1065" ht="14.25" customHeight="1">
      <c r="B1065" s="76"/>
      <c r="C1065" s="76"/>
      <c r="D1065" s="76"/>
    </row>
    <row r="1066" ht="14.25" customHeight="1">
      <c r="B1066" s="76"/>
      <c r="C1066" s="76"/>
      <c r="D1066" s="76"/>
    </row>
    <row r="1067" ht="14.25" customHeight="1">
      <c r="B1067" s="76"/>
      <c r="C1067" s="76"/>
      <c r="D1067" s="76"/>
    </row>
    <row r="1068" ht="14.25" customHeight="1">
      <c r="B1068" s="76"/>
      <c r="C1068" s="76"/>
      <c r="D1068" s="76"/>
    </row>
    <row r="1069" ht="14.25" customHeight="1">
      <c r="B1069" s="76"/>
      <c r="C1069" s="76"/>
      <c r="D1069" s="76"/>
    </row>
    <row r="1070" ht="14.25" customHeight="1">
      <c r="B1070" s="76"/>
      <c r="C1070" s="76"/>
      <c r="D1070" s="76"/>
    </row>
    <row r="1071" ht="14.25" customHeight="1">
      <c r="B1071" s="76"/>
      <c r="C1071" s="76"/>
      <c r="D1071" s="76"/>
    </row>
    <row r="1072" ht="14.25" customHeight="1">
      <c r="B1072" s="76"/>
      <c r="C1072" s="76"/>
      <c r="D1072" s="76"/>
    </row>
    <row r="1073" ht="14.25" customHeight="1">
      <c r="B1073" s="76"/>
      <c r="C1073" s="76"/>
      <c r="D1073" s="76"/>
    </row>
    <row r="1074" ht="14.25" customHeight="1">
      <c r="B1074" s="76"/>
      <c r="C1074" s="76"/>
      <c r="D1074" s="76"/>
    </row>
    <row r="1075" ht="14.25" customHeight="1">
      <c r="B1075" s="76"/>
      <c r="C1075" s="76"/>
      <c r="D1075" s="76"/>
    </row>
    <row r="1076" ht="14.25" customHeight="1">
      <c r="B1076" s="76"/>
      <c r="C1076" s="76"/>
      <c r="D1076" s="76"/>
    </row>
    <row r="1077" ht="14.25" customHeight="1">
      <c r="B1077" s="76"/>
      <c r="C1077" s="76"/>
      <c r="D1077" s="76"/>
    </row>
    <row r="1078" ht="14.25" customHeight="1">
      <c r="B1078" s="76"/>
      <c r="C1078" s="76"/>
      <c r="D1078" s="76"/>
    </row>
    <row r="1079" ht="14.25" customHeight="1">
      <c r="B1079" s="76"/>
      <c r="C1079" s="76"/>
      <c r="D1079" s="76"/>
    </row>
    <row r="1080" ht="14.25" customHeight="1">
      <c r="B1080" s="76"/>
      <c r="C1080" s="76"/>
      <c r="D1080" s="76"/>
    </row>
    <row r="1081" ht="14.25" customHeight="1">
      <c r="B1081" s="76"/>
      <c r="C1081" s="76"/>
      <c r="D1081" s="76"/>
    </row>
    <row r="1082" ht="14.25" customHeight="1">
      <c r="B1082" s="76"/>
      <c r="C1082" s="76"/>
      <c r="D1082" s="76"/>
    </row>
    <row r="1083" ht="14.25" customHeight="1">
      <c r="B1083" s="76"/>
      <c r="C1083" s="76"/>
      <c r="D1083" s="76"/>
    </row>
    <row r="1084" ht="14.25" customHeight="1">
      <c r="B1084" s="76"/>
      <c r="C1084" s="76"/>
      <c r="D1084" s="76"/>
    </row>
    <row r="1085" ht="14.25" customHeight="1">
      <c r="B1085" s="76"/>
      <c r="C1085" s="76"/>
      <c r="D1085" s="76"/>
    </row>
    <row r="1086" ht="14.25" customHeight="1">
      <c r="B1086" s="76"/>
      <c r="C1086" s="76"/>
      <c r="D1086" s="76"/>
    </row>
    <row r="1087" ht="14.25" customHeight="1">
      <c r="B1087" s="76"/>
      <c r="C1087" s="76"/>
      <c r="D1087" s="76"/>
    </row>
    <row r="1088" ht="14.25" customHeight="1">
      <c r="B1088" s="76"/>
      <c r="C1088" s="76"/>
      <c r="D1088" s="76"/>
    </row>
    <row r="1089" ht="14.25" customHeight="1">
      <c r="B1089" s="76"/>
      <c r="C1089" s="76"/>
      <c r="D1089" s="76"/>
    </row>
    <row r="1090" ht="14.25" customHeight="1">
      <c r="B1090" s="76"/>
      <c r="C1090" s="76"/>
      <c r="D1090" s="76"/>
    </row>
    <row r="1091" ht="14.25" customHeight="1">
      <c r="B1091" s="76"/>
      <c r="C1091" s="76"/>
      <c r="D1091" s="76"/>
    </row>
    <row r="1092" ht="14.25" customHeight="1">
      <c r="B1092" s="76"/>
      <c r="C1092" s="76"/>
      <c r="D1092" s="76"/>
    </row>
    <row r="1093" ht="14.25" customHeight="1">
      <c r="B1093" s="76"/>
      <c r="C1093" s="76"/>
      <c r="D1093" s="76"/>
    </row>
    <row r="1094" ht="14.25" customHeight="1">
      <c r="B1094" s="76"/>
      <c r="C1094" s="76"/>
      <c r="D1094" s="76"/>
    </row>
    <row r="1095" ht="14.25" customHeight="1">
      <c r="B1095" s="76"/>
      <c r="C1095" s="76"/>
      <c r="D1095" s="76"/>
    </row>
    <row r="1096" ht="14.25" customHeight="1">
      <c r="B1096" s="76"/>
      <c r="C1096" s="76"/>
      <c r="D1096" s="76"/>
    </row>
    <row r="1097" ht="14.25" customHeight="1">
      <c r="B1097" s="76"/>
      <c r="C1097" s="76"/>
      <c r="D1097" s="76"/>
    </row>
    <row r="1098" ht="14.25" customHeight="1">
      <c r="B1098" s="76"/>
      <c r="C1098" s="76"/>
      <c r="D1098" s="76"/>
    </row>
    <row r="1099" ht="14.25" customHeight="1">
      <c r="B1099" s="76"/>
      <c r="C1099" s="76"/>
      <c r="D1099" s="76"/>
    </row>
    <row r="1100" ht="14.25" customHeight="1">
      <c r="B1100" s="76"/>
      <c r="C1100" s="76"/>
      <c r="D1100" s="76"/>
    </row>
    <row r="1101" ht="14.25" customHeight="1">
      <c r="B1101" s="76"/>
      <c r="C1101" s="76"/>
      <c r="D1101" s="76"/>
    </row>
    <row r="1102" ht="14.25" customHeight="1">
      <c r="B1102" s="76"/>
      <c r="C1102" s="76"/>
      <c r="D1102" s="76"/>
    </row>
    <row r="1103" ht="14.25" customHeight="1">
      <c r="B1103" s="76"/>
      <c r="C1103" s="76"/>
      <c r="D1103" s="76"/>
    </row>
    <row r="1104" ht="14.25" customHeight="1">
      <c r="B1104" s="76"/>
      <c r="C1104" s="76"/>
      <c r="D1104" s="76"/>
    </row>
    <row r="1105" ht="14.25" customHeight="1">
      <c r="B1105" s="76"/>
      <c r="C1105" s="76"/>
      <c r="D1105" s="76"/>
    </row>
    <row r="1106" ht="14.25" customHeight="1">
      <c r="B1106" s="76"/>
      <c r="C1106" s="76"/>
      <c r="D1106" s="76"/>
    </row>
    <row r="1107" ht="14.25" customHeight="1">
      <c r="B1107" s="76"/>
      <c r="C1107" s="76"/>
      <c r="D1107" s="76"/>
    </row>
    <row r="1108" ht="14.25" customHeight="1">
      <c r="B1108" s="76"/>
      <c r="C1108" s="76"/>
      <c r="D1108" s="76"/>
    </row>
    <row r="1109" ht="14.25" customHeight="1">
      <c r="B1109" s="76"/>
      <c r="C1109" s="76"/>
      <c r="D1109" s="76"/>
    </row>
    <row r="1110" ht="14.25" customHeight="1">
      <c r="B1110" s="76"/>
      <c r="C1110" s="76"/>
      <c r="D1110" s="76"/>
    </row>
    <row r="1111" ht="14.25" customHeight="1">
      <c r="B1111" s="76"/>
      <c r="C1111" s="76"/>
      <c r="D1111" s="76"/>
    </row>
    <row r="1112" ht="14.25" customHeight="1">
      <c r="B1112" s="76"/>
      <c r="C1112" s="76"/>
      <c r="D1112" s="76"/>
    </row>
    <row r="1113" ht="14.25" customHeight="1">
      <c r="B1113" s="76"/>
      <c r="C1113" s="76"/>
      <c r="D1113" s="76"/>
    </row>
    <row r="1114" ht="14.25" customHeight="1">
      <c r="B1114" s="76"/>
      <c r="C1114" s="76"/>
      <c r="D1114" s="76"/>
    </row>
    <row r="1115" ht="14.25" customHeight="1">
      <c r="B1115" s="76"/>
      <c r="C1115" s="76"/>
      <c r="D1115" s="76"/>
    </row>
    <row r="1116" ht="14.25" customHeight="1">
      <c r="B1116" s="76"/>
      <c r="C1116" s="76"/>
      <c r="D1116" s="76"/>
    </row>
    <row r="1117" ht="14.25" customHeight="1">
      <c r="B1117" s="76"/>
      <c r="C1117" s="76"/>
      <c r="D1117" s="76"/>
    </row>
    <row r="1118" ht="14.25" customHeight="1">
      <c r="B1118" s="76"/>
      <c r="C1118" s="76"/>
      <c r="D1118" s="76"/>
    </row>
    <row r="1119" ht="14.25" customHeight="1">
      <c r="B1119" s="76"/>
      <c r="C1119" s="76"/>
      <c r="D1119" s="76"/>
    </row>
    <row r="1120" ht="14.25" customHeight="1">
      <c r="B1120" s="76"/>
      <c r="C1120" s="76"/>
      <c r="D1120" s="76"/>
    </row>
    <row r="1121" ht="14.25" customHeight="1">
      <c r="B1121" s="76"/>
      <c r="C1121" s="76"/>
      <c r="D1121" s="76"/>
    </row>
    <row r="1122" ht="14.25" customHeight="1">
      <c r="B1122" s="76"/>
      <c r="C1122" s="76"/>
      <c r="D1122" s="76"/>
    </row>
    <row r="1123" ht="14.25" customHeight="1">
      <c r="B1123" s="76"/>
      <c r="C1123" s="76"/>
      <c r="D1123" s="76"/>
    </row>
    <row r="1124" ht="14.25" customHeight="1">
      <c r="B1124" s="76"/>
      <c r="C1124" s="76"/>
      <c r="D1124" s="76"/>
    </row>
    <row r="1125" ht="14.25" customHeight="1">
      <c r="B1125" s="76"/>
      <c r="C1125" s="76"/>
      <c r="D1125" s="76"/>
    </row>
    <row r="1126" ht="14.25" customHeight="1">
      <c r="B1126" s="76"/>
      <c r="C1126" s="76"/>
      <c r="D1126" s="76"/>
    </row>
    <row r="1127" ht="14.25" customHeight="1">
      <c r="B1127" s="76"/>
      <c r="C1127" s="76"/>
      <c r="D1127" s="76"/>
    </row>
    <row r="1128" ht="14.25" customHeight="1">
      <c r="B1128" s="76"/>
      <c r="C1128" s="76"/>
      <c r="D1128" s="76"/>
    </row>
    <row r="1129" ht="14.25" customHeight="1">
      <c r="B1129" s="76"/>
      <c r="C1129" s="76"/>
      <c r="D1129" s="76"/>
    </row>
    <row r="1130" ht="14.25" customHeight="1">
      <c r="B1130" s="76"/>
      <c r="C1130" s="76"/>
      <c r="D1130" s="76"/>
    </row>
    <row r="1131" ht="14.25" customHeight="1">
      <c r="B1131" s="76"/>
      <c r="C1131" s="76"/>
      <c r="D1131" s="76"/>
    </row>
    <row r="1132" ht="14.25" customHeight="1">
      <c r="B1132" s="76"/>
      <c r="C1132" s="76"/>
      <c r="D1132" s="76"/>
    </row>
    <row r="1133" ht="14.25" customHeight="1">
      <c r="B1133" s="76"/>
      <c r="C1133" s="76"/>
      <c r="D1133" s="76"/>
    </row>
  </sheetData>
  <mergeCells count="1">
    <mergeCell ref="B1:I1"/>
  </mergeCells>
  <conditionalFormatting sqref="I3:I933">
    <cfRule type="cellIs" dxfId="0" priority="1" stopIfTrue="1" operator="equal">
      <formula>1</formula>
    </cfRule>
  </conditionalFormatting>
  <conditionalFormatting sqref="I3:I1133">
    <cfRule type="cellIs" dxfId="1" priority="2" stopIfTrue="1" operator="equal">
      <formula>9</formula>
    </cfRule>
  </conditionalFormatting>
  <conditionalFormatting sqref="I3:I1133">
    <cfRule type="cellIs" dxfId="2" priority="3" stopIfTrue="1" operator="equal">
      <formula>6</formula>
    </cfRule>
  </conditionalFormatting>
  <conditionalFormatting sqref="I3:I1133">
    <cfRule type="cellIs" dxfId="3" priority="4" stopIfTrue="1" operator="equal">
      <formula>4</formula>
    </cfRule>
  </conditionalFormatting>
  <conditionalFormatting sqref="I3:I1133">
    <cfRule type="cellIs" dxfId="4" priority="5" stopIfTrue="1" operator="equal">
      <formula>3</formula>
    </cfRule>
  </conditionalFormatting>
  <conditionalFormatting sqref="I3:I1133">
    <cfRule type="cellIs" dxfId="5" priority="6" stopIfTrue="1" operator="equal">
      <formula>2</formula>
    </cfRule>
  </conditionalFormatting>
  <dataValidations>
    <dataValidation type="list" allowBlank="1" showErrorMessage="1" sqref="E3:E933">
      <formula1>'Tablas AR'!$B$4:$B$6</formula1>
    </dataValidation>
    <dataValidation type="list" allowBlank="1" showErrorMessage="1" sqref="G3:G933">
      <formula1>'Tablas AR'!$B$10:$B$12</formula1>
    </dataValidation>
  </dataValidation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2014-06-04T15:51:15Z</dcterms:created>
</cp:coreProperties>
</file>